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icufrj-my.sharepoint.com/personal/estersouza_ufrj_br/Documents/Consultoria/Pastas Sanitárias/Pasta Sanitária - Estética/Legislações aplicáveis/ROI/"/>
    </mc:Choice>
  </mc:AlternateContent>
  <xr:revisionPtr revIDLastSave="506" documentId="8_{7035887D-E275-45D9-81A1-1DB3CCA1AAC7}" xr6:coauthVersionLast="47" xr6:coauthVersionMax="47" xr10:uidLastSave="{12F886DE-3EE0-4E4E-BC88-E9449428FA6F}"/>
  <bookViews>
    <workbookView xWindow="-108" yWindow="-108" windowWidth="23256" windowHeight="12456" firstSheet="1" activeTab="1" xr2:uid="{F6807879-16C9-44BE-86D9-728750373735}"/>
  </bookViews>
  <sheets>
    <sheet name="Planilha1" sheetId="1" state="hidden" r:id="rId1"/>
    <sheet name="ROI" sheetId="2" r:id="rId2"/>
    <sheet name="PLANO DE AÇÃO" sheetId="4" r:id="rId3"/>
    <sheet name="COMO COMPROVAR"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 l="1"/>
  <c r="L10" i="2"/>
  <c r="A2" i="4" a="1"/>
  <c r="A2" i="4" s="1"/>
  <c r="N6" i="2"/>
  <c r="N2" i="2"/>
  <c r="H3" i="2"/>
  <c r="H4"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2" i="2"/>
  <c r="L2" i="2"/>
  <c r="F3" i="2"/>
  <c r="F4" i="2"/>
  <c r="F5" i="2"/>
  <c r="H5" i="2" s="1"/>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2" i="2"/>
  <c r="N7" i="2" l="1"/>
  <c r="N5" i="2" s="1"/>
  <c r="N3" i="2"/>
  <c r="N1" i="2" s="1"/>
  <c r="L3" i="2"/>
  <c r="L1" i="2" s="1"/>
  <c r="H11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<sst xmlns="http://schemas.openxmlformats.org/spreadsheetml/2006/main" count="908" uniqueCount="360">
  <si>
    <t>Nº</t>
  </si>
  <si>
    <t>EIXO</t>
  </si>
  <si>
    <t>ITEM DE INSPEÇÃO</t>
  </si>
  <si>
    <t>BASE LEGAL (Referência)</t>
  </si>
  <si>
    <t>DOCUMENTAÇÃO E REGULARIZAÇÃO</t>
  </si>
  <si>
    <t>Possui Alvará ou Licença Sanitária vigente e compatível com as atividades declaradas.</t>
  </si>
  <si>
    <t>Legislação Sanitária Federal e Local</t>
  </si>
  <si>
    <t>Alvará Sanitário está afixado em local visível ao público.</t>
  </si>
  <si>
    <t>Legislação Municipal/Estadual</t>
  </si>
  <si>
    <t>Possui CNPJ e o CNAE (Classificação Nacional de Atividades Econômicas) é compatível com os serviços prestados.</t>
  </si>
  <si>
    <t>Legislação Tributária e Sanitária</t>
  </si>
  <si>
    <t>Possui Responsável Técnico (RT) de nível superior e legalmente habilitado, com comprovação de vínculo e certidão do conselho de classe.</t>
  </si>
  <si>
    <t>Nota Técnica 02/2024/ANVISA</t>
  </si>
  <si>
    <t xml:space="preserve"> Resoluções de Conselhos Profissionais</t>
  </si>
  <si>
    <t>Apresenta o Plano de Gerenciamento de Resíduos de Serviços de Saúde (PGRSS) implementado e seguido na prática.</t>
  </si>
  <si>
    <t>RDC nº 222/2018</t>
  </si>
  <si>
    <t>Apresenta o Plano de Segurança do Paciente (PSP) implantado.</t>
  </si>
  <si>
    <t>RDC nº 36/2013</t>
  </si>
  <si>
    <t>Possui Manual de Biossegurança e Gerenciamento de Riscos (contemplando condutas em caso de acidentes e intercorrências).</t>
  </si>
  <si>
    <t>RDC nº 63/2011</t>
  </si>
  <si>
    <t xml:space="preserve"> NR 32</t>
  </si>
  <si>
    <t>Possui Procedimentos Operacionais Padrão (POPs) para todos os processos (limpeza, esterilização, atendimento, etc.).</t>
  </si>
  <si>
    <t>Apresenta prontuários dos pacientes preenchidos adequadamente, sem rasuras e com assinatura do profissional e do paciente.</t>
  </si>
  <si>
    <t>RDC 63/2011 seção IV</t>
  </si>
  <si>
    <t>Apresenta Termo de Consentimento Livre e Esclarecido (TCLE) para os procedimentos invasivos realizados.</t>
  </si>
  <si>
    <t>Resolução CNS nº 466/2012</t>
  </si>
  <si>
    <t xml:space="preserve"> Código de Ética Profissional</t>
  </si>
  <si>
    <t>Possui Projeto Básico de Arquitetura (PBA) aprovado pela VISA, quando aplicável (construção ou reforma).</t>
  </si>
  <si>
    <t>RDC nº 50/2002</t>
  </si>
  <si>
    <t>Apresenta relação de todos os profissionais que atuam no estabelecimento, com suas respectivas habilitações.</t>
  </si>
  <si>
    <t>RDC 63/2011 art. 29 e 30</t>
  </si>
  <si>
    <t>Possui contratos com empresas terceirizadas (coleta de resíduos, controle de pragas, lavanderia, etc.) e a licença sanitária desses fornecedores.</t>
  </si>
  <si>
    <t>SAÚDE E SEGURANÇA DO TRABALHADOR</t>
  </si>
  <si>
    <t>Apresenta PCMSO (Programa de Controle Médico de Saúde Ocupacional).</t>
  </si>
  <si>
    <t>Norma Regulamentadora (NR-7)</t>
  </si>
  <si>
    <t>Apresenta PGR (Programa de Gerenciamento de Riscos).</t>
  </si>
  <si>
    <t>Norma Regulamentadora (NR-1)</t>
  </si>
  <si>
    <t>Possui registro de entrega de EPIs para todos os funcionários, com o devido Certificado de Aprovação (CA).</t>
  </si>
  <si>
    <t>Norma Regulamentadora (NR-6)</t>
  </si>
  <si>
    <t>Apresenta comprovação de vacinação dos profissionais (ex: Hepatite B e Tétano) e controle de saúde (exame Anti-HBs).</t>
  </si>
  <si>
    <t>Norma Regulamentadora (NR-32)</t>
  </si>
  <si>
    <t>Existe local apropriado para guarda de roupas e pertences dos funcionários (vestiário ou armários).</t>
  </si>
  <si>
    <t>LM 7031/96 (Exemplo de Lei Municipal)</t>
  </si>
  <si>
    <t>INFRAESTRUTURA FÍSICA</t>
  </si>
  <si>
    <t>Pisos, paredes e tetos são de material liso, lavável, impermeável e estão em bom estado de conservação.</t>
  </si>
  <si>
    <t>O mobiliário (macas, carrinhos, etc.) é de material lavável, impermeável e está em bom estado de conservação.</t>
  </si>
  <si>
    <t>RDC nº 63/2011 art. 56</t>
  </si>
  <si>
    <t>Armários e bancadas são de material liso, lavável, íntegro e resistente aos processos de limpeza e desinfecção.</t>
  </si>
  <si>
    <t>As instalações (elétricas, hidráulicas) estão embutidas ou protegidas por calhas e em bom estado.</t>
  </si>
  <si>
    <t>A iluminação e ventilação (natural ou artificial) são adequadas em todas as áreas.</t>
  </si>
  <si>
    <t>Possui sanitários para funcionários e público, com todos os insumos (sabonete líquido, papel toalha, papel higiênico).</t>
  </si>
  <si>
    <t>A sala de procedimentos é exclusiva para este fim e devidamente identificada.</t>
  </si>
  <si>
    <t>Possui lavatório exclusivo para higiene das mãos na sala de procedimento, dotado de dispensador para sabonete líquido, papel toalha e lixeira com pedal.</t>
  </si>
  <si>
    <t xml:space="preserve"> RDC 50/2002</t>
  </si>
  <si>
    <t>Possui Depósito de Material de Limpeza (DML) com tanque e armário para guarda de saneantes.</t>
  </si>
  <si>
    <t>O estabelecimento está livre de materiais em desuso ou alheios à atividade.</t>
  </si>
  <si>
    <t>LM 10715/2011 art. 227 (Exemplo de Lei Municipal)</t>
  </si>
  <si>
    <t>O estabelecimento promove acessibilidade para pessoas com deficiência ou mobilidade reduzida.</t>
  </si>
  <si>
    <t>NBR 9050</t>
  </si>
  <si>
    <t>A área de recepção/espera é separada das áreas de procedimento.</t>
  </si>
  <si>
    <t>RDC 50/2002</t>
  </si>
  <si>
    <t>PROCESSAMENTO DE ARTIGOS (CME)</t>
  </si>
  <si>
    <t>Possui Central de Material e Esterilização (CME) ou área de processamento com barreira física (ou fluxo unidirecional) entre setor sujo e limpo.</t>
  </si>
  <si>
    <t>RDC nº 15/2012</t>
  </si>
  <si>
    <t>A limpeza de instrumentais utiliza detergente enzimático regularizado na ANVISA, seguindo as orientações do fabricante.</t>
  </si>
  <si>
    <t>A pia de lavagem de instrumentais (expurgo) é exclusiva para este fim e possui cuba profunda.</t>
  </si>
  <si>
    <t>A esterilização de artigos críticos (invasivos) é feita exclusivamente por autoclave, com registro na ANVISA.</t>
  </si>
  <si>
    <t>A autoclave está instalada em local e bancada apropriados conforme manual do fabricante.</t>
  </si>
  <si>
    <t>Boas Práticas de CME</t>
  </si>
  <si>
    <t>Realiza monitoramento do processo de esterilização com indicadores químicos (em todos os pacotes) e biológicos (com frequência mínima semanal).</t>
  </si>
  <si>
    <t>Mantém registros de todos os ciclos de esterilização, garantindo a rastreabilidade dos instrumentais por lote/carga.</t>
  </si>
  <si>
    <t>Os materiais esterilizados possuem etiqueta com data de esterilização, data de validade e número do lote/ciclo.</t>
  </si>
  <si>
    <t>RDC 15/2012 art. 83</t>
  </si>
  <si>
    <t>O armazenamento de material estéril é feito em armário fechado, limpo, seco e de acesso restrito.</t>
  </si>
  <si>
    <t>Os artigos de uso único são descartados após o uso, sendo proibido seu reprocessamento.</t>
  </si>
  <si>
    <t>RDC nº 156/2006</t>
  </si>
  <si>
    <t xml:space="preserve"> RE 2605/2006</t>
  </si>
  <si>
    <t>As embalagens utilizadas para esterilização são apropriadas e regularizadas na ANVISA.</t>
  </si>
  <si>
    <t>RDC 15/2012</t>
  </si>
  <si>
    <t>BIOSSEGURANÇA</t>
  </si>
  <si>
    <t>Os profissionais utilizam EPIs (luvas, máscara, óculos, jaleco de manga longa) adequados para cada procedimento.</t>
  </si>
  <si>
    <t>NR 32</t>
  </si>
  <si>
    <t xml:space="preserve"> RDC 63/2011</t>
  </si>
  <si>
    <t>Possui protocolo implantado de Higiene das Mãos, conforme preconizado pela ANVISA.</t>
  </si>
  <si>
    <t xml:space="preserve"> Protocolo ANVISA</t>
  </si>
  <si>
    <t>Disponibiliza preparação alcoólica para fricção antisséptica das mãos em pontos estratégicos.</t>
  </si>
  <si>
    <t>RDC 42/2010</t>
  </si>
  <si>
    <t>É realizada a desinfecção de superfícies (macas, bancadas) entre um paciente e outro.</t>
  </si>
  <si>
    <t>RDC 63/2011</t>
  </si>
  <si>
    <t>Materiais perfurocortantes são de uso único e descartados em coletores rígidos, que são substituídos ao atingir o limite de segurança.</t>
  </si>
  <si>
    <t>O coletor de perfurocortantes está em suporte e em local seguro para evitar acidentes.</t>
  </si>
  <si>
    <t>É utilizada barreira de proteção descartável (lençol, filme PVC) em equipamentos e mobiliário.</t>
  </si>
  <si>
    <t>Princípios de Biossegurança</t>
  </si>
  <si>
    <t>Os calçados utilizados pelos profissionais na área de procedimento são fechados.</t>
  </si>
  <si>
    <t>SEGURANÇA DO PACIENTE</t>
  </si>
  <si>
    <t>Possui protocolo para manejo de intercorrências e emergências, com equipamentos e/ou plano de encaminhamento definido.</t>
  </si>
  <si>
    <t xml:space="preserve"> Nota Técnica 02/2024/ANVISA</t>
  </si>
  <si>
    <t>Realiza a notificação de eventos adversos e queixas técnicas de produtos e equipamentos no sistema NOTIVISA.</t>
  </si>
  <si>
    <t>Adota o protocolo de identificação do paciente para garantir que o procedimento seja realizado no paciente correto.</t>
  </si>
  <si>
    <t>Adota o protocolo de cirurgia segura (quando aplicável), com checagem de lateralidade, procedimento e materiais.</t>
  </si>
  <si>
    <t>EQUIPAMENTOS E PRODUTOS</t>
  </si>
  <si>
    <t>Todos os equipamentos possuem registro ou notificação na ANVISA.</t>
  </si>
  <si>
    <t>RDC nº 751/2022</t>
  </si>
  <si>
    <t>Possui o manual de instruções de todos os equipamentos em português.</t>
  </si>
  <si>
    <t>Apresenta registros de manutenção preventiva e calibração periódica dos equipamentos, conforme manual do fabricante.</t>
  </si>
  <si>
    <t>Os saneantes utilizados para limpeza e desinfecção são regularizados na ANVISA.</t>
  </si>
  <si>
    <t>Lei nº 6.360/1976</t>
  </si>
  <si>
    <t>Todos os cosméticos e produtos para saúde são regularizados na ANVISA, estão no prazo de validade e armazenados corretamente.</t>
  </si>
  <si>
    <t>Os produtos expostos à venda (cosméticos, etc.) estão regularizados junto à ANVISA.</t>
  </si>
  <si>
    <t>É proibido o fracionamento de produtos, exceto se especificado pelo fabricante e seguindo critérios técnicos.</t>
  </si>
  <si>
    <t>Boas Práticas</t>
  </si>
  <si>
    <t>Medicamentos fracionados ou abertos possuem identificação com data de abertura e nova data de validade.</t>
  </si>
  <si>
    <t>Possui refrigerador exclusivo para medicamentos, com controle e registro diário de temperatura (mínima e máxima).</t>
  </si>
  <si>
    <t xml:space="preserve"> Boas Práticas de Armazenamento</t>
  </si>
  <si>
    <t>Possui plano de contingência para o armazenamento de produtos termolábeis em caso de falta de energia.</t>
  </si>
  <si>
    <t>Boas Práticas de Armazenamento</t>
  </si>
  <si>
    <t>GESTÃO DE RESÍDUOS</t>
  </si>
  <si>
    <t>Apresenta contrato com empresa licenciada para coleta, transporte e destinação final de resíduos de saúde (Grupos A, B, E).</t>
  </si>
  <si>
    <t>A segregação dos resíduos (infectante, químico, perfurocortante, comum) é realizada corretamente no momento e local de sua geração.</t>
  </si>
  <si>
    <t>Os recipientes de descarte (lixeiras) são adequados ao tipo de resíduo, com tampa de acionamento por pedal.</t>
  </si>
  <si>
    <t>Os sacos de lixo utilizados correspondem à cor padronizada para cada tipo de resíduo.</t>
  </si>
  <si>
    <t>Os resíduos são retirados das salas de procedimento no mínimo a cada 48h ou quando o recipiente atingir 2/3 da capacidade.</t>
  </si>
  <si>
    <t>RDC 222/2018 art. 14</t>
  </si>
  <si>
    <t>Possui abrigo externo de resíduos, em conformidade com a RDC 222/2018 (separado, identificado, protegido).</t>
  </si>
  <si>
    <t>CONTROLE DE VETORES E QUALIDADE DA ÁGUA</t>
  </si>
  <si>
    <t>Apresenta comprovante de controle de vetores e pragas urbanas, realizado por empresa licenciada.</t>
  </si>
  <si>
    <t>RDC 63/2011 art. 23</t>
  </si>
  <si>
    <t>Apresenta comprovante de limpeza e desinfecção do reservatório de água, com periodicidade mínima semestral.</t>
  </si>
  <si>
    <t>RDC 63/2011 art. 39</t>
  </si>
  <si>
    <t>LAVANDERIA</t>
  </si>
  <si>
    <t>As roupas limpas são armazenadas em local separado, limpo e fechado.</t>
  </si>
  <si>
    <t>As roupas sujas são acondicionadas em sacos impermeáveis e transportadas separadamente das limpas.</t>
  </si>
  <si>
    <t>Se o processamento de roupas é terceirizado, apresenta contrato com lavanderia que possua licença sanitária.</t>
  </si>
  <si>
    <t>As toalhas de tecido, se utilizadas, são de cor clara e de uso individual.</t>
  </si>
  <si>
    <t>CONSIDERAÇÕES GERAIS</t>
  </si>
  <si>
    <t>As condições gerais de higiene e organização do estabelecimento são satisfatórias.</t>
  </si>
  <si>
    <t>Legislação Sanitária Local</t>
  </si>
  <si>
    <t>A publicidade e propaganda do estabelecimento não são enganosas e respeitam as normas dos conselhos profissionais.</t>
  </si>
  <si>
    <t>Código de Defesa do Consumidor</t>
  </si>
  <si>
    <t xml:space="preserve"> Resoluções de Conselhos</t>
  </si>
  <si>
    <t>É proibido o uso de equipamentos de bronzeamento artificial com emissão de UV.</t>
  </si>
  <si>
    <t>RDC 56/2009</t>
  </si>
  <si>
    <t>Os profissionais executam apenas os procedimentos para os quais estão legalmente habilitados.</t>
  </si>
  <si>
    <t>Lei do Exercício Profissional</t>
  </si>
  <si>
    <t>As tomadas e interruptores estão em bom estado de conservação, sem fios expostos.</t>
  </si>
  <si>
    <t>Normas de Segurança Elétrica (ex: NR-10)</t>
  </si>
  <si>
    <t>O estabelecimento possui extintores de incêndio com carga e validade em dia.</t>
  </si>
  <si>
    <t>Normas do Corpo de Bombeiros</t>
  </si>
  <si>
    <t>As saídas de emergência estão desobstruídas e sinalizadas.</t>
  </si>
  <si>
    <t>É proibido fumar no interior do estabelecimento.</t>
  </si>
  <si>
    <t>Lei Federal nº 9.294/1996</t>
  </si>
  <si>
    <t>Há bebedouro com água potável disponível para funcionários e clientes.</t>
  </si>
  <si>
    <t>Lei Federal nº 13.589/2018</t>
  </si>
  <si>
    <t>A validade dos produtos saneantes é controlada.</t>
  </si>
  <si>
    <t>Os produtos de limpeza são armazenados separadamente dos produtos utilizados nos procedimentos.</t>
  </si>
  <si>
    <t>Os uniformes dos funcionários estão limpos e em bom estado de conservação.</t>
  </si>
  <si>
    <t>A empresa possui Livro de Reclamações do Consumidor, conforme exigência local.</t>
  </si>
  <si>
    <t>Legislação do Consumidor</t>
  </si>
  <si>
    <t>A empresa notifica compulsoriamente os agravos à saúde de acordo com a legislação.</t>
  </si>
  <si>
    <t>Portaria de Consolidação nº 4/2017 (GM/MS)</t>
  </si>
  <si>
    <t>O descarte de medicamentos e químicos é realizado conforme o PGRSS, em conformidade com a RDC 222/2018.</t>
  </si>
  <si>
    <t>RDC 222/2018</t>
  </si>
  <si>
    <t>O descarte de embalagens de produtos é realizado de forma a inutilizá-las para evitar o reuso.</t>
  </si>
  <si>
    <t>Boas Práricas</t>
  </si>
  <si>
    <t>Existe rotina de limpeza periódica dos equipamentos (parte externa).</t>
  </si>
  <si>
    <t>O piso possui declividade adequada para o escoamento de água nas áreas molhadas (DML, expurgo).</t>
  </si>
  <si>
    <t>Os ralos possuem sistema de fechamento (grelha ou similar).</t>
  </si>
  <si>
    <t>As janelas das áreas de procedimento possuem tela milimétrica para proteção contra vetores.</t>
  </si>
  <si>
    <t>O estabelecimento possui um local para a guarda de pertences de clientes/pacientes.</t>
  </si>
  <si>
    <t>Boas Práticas de Atendimento</t>
  </si>
  <si>
    <t>A sala de espera oferece condições adequadas de conforto e higiene.</t>
  </si>
  <si>
    <t>Os registros dos procedimentos (prontuários) são arquivados de forma a garantir sigilo e segurança da informação.</t>
  </si>
  <si>
    <t>Código de Ética Profissional</t>
  </si>
  <si>
    <t xml:space="preserve"> LGPD</t>
  </si>
  <si>
    <t>Os certificados de calibração dos equipamentos estão disponíveis e dentro da validade.</t>
  </si>
  <si>
    <t>A empresa mantém arquivadas as notas fiscais de compra de todos os produtos para saúde e equipamentos.</t>
  </si>
  <si>
    <t>Boas Práticas de Gestão</t>
  </si>
  <si>
    <t>Apresenta Memorial Descritivo detalhando todos os procedimentos, técnicas e tecnologias utilizadas no estabelecimento.</t>
  </si>
  <si>
    <t xml:space="preserve"> Legislação Local</t>
  </si>
  <si>
    <t>Apresenta uma lista formal de todos os equipamentos, incluindo marca, modelo e número de registro na ANVISA.</t>
  </si>
  <si>
    <t xml:space="preserve"> RDC 751/2022</t>
  </si>
  <si>
    <t>NR 24</t>
  </si>
  <si>
    <t>Portaria SVS/MS nº 344/98</t>
  </si>
  <si>
    <t>O local de armazenamento de medicamentos controlados (Portaria 344/98) é exclusivo, trancado com chave e de acesso restrito?</t>
  </si>
  <si>
    <t>Realiza e mantém os registros do Balanço de Substâncias Psicoativas e Outras (BSPO), conforme legislação?</t>
  </si>
  <si>
    <t>Há controle de temperatura e integridade para amostras grátis de medicamentos, sob responsabilidade do prescritor?</t>
  </si>
  <si>
    <t>Os medicamentos manipulados para uso no estabelecimento possuem rótulo com os dados da farmácia de manipulação e do paciente/clínica?</t>
  </si>
  <si>
    <t>RDC 67/2007</t>
  </si>
  <si>
    <t>O consultório de atendimento possui dimensões mínimas que garantem a boa execução e circulação para as atividades?</t>
  </si>
  <si>
    <t>Se o sanitário for anexo à sala de atendimento, este possui ventilação adequada e é de uso exclusivo para pacientes em procedimento?</t>
  </si>
  <si>
    <t>Apresenta validação (qualificação térmica) da autoclave, realizada por empresa especializada?</t>
  </si>
  <si>
    <t>RDC 15/2012 art. 95-97</t>
  </si>
  <si>
    <t>Possui registro da limpeza e desinfecção da área de processamento de artigos (CME)?</t>
  </si>
  <si>
    <t>RDC 15/2012 art. 65</t>
  </si>
  <si>
    <t>Os profissionais não comem, bebem ou guardam alimentos nos postos de trabalho (bancadas e salas de procedimento).</t>
  </si>
  <si>
    <t>Existe área específica para o registro e arquivo de prontuários, garantindo o manuseio seguro e o sigilo das informações?</t>
  </si>
  <si>
    <t>RDC nº 63/11 art. 17</t>
  </si>
  <si>
    <t>Existe um programa de educação permanente documentado para todos os funcionários, com cronograma definido?</t>
  </si>
  <si>
    <t>RDC 63/2011 art. 32</t>
  </si>
  <si>
    <t>Há um local destinado ao descanso e refeições para os funcionários, separado das áreas de procedimento?</t>
  </si>
  <si>
    <t>A sala de espera de pacientes oferece ventilação e iluminação adequadas (natural ou artificial).</t>
  </si>
  <si>
    <t>É realizada a rastreabilidade dos produtos e equipamentos utilizados em cada paciente, vinculada ao prontuário?</t>
  </si>
  <si>
    <t xml:space="preserve"> RDC 36/2013</t>
  </si>
  <si>
    <t>O estabelecimento possui carro de emergência montado, com materiais e medicamentos validados, testados e lacrados?</t>
  </si>
  <si>
    <t>Os registros eletrônicos de pacientes (se houver) possuem sistema de backup e controle de acesso para garantir sigilo e segurança?</t>
  </si>
  <si>
    <t>Lei Geral de Proteção de Dados (LGPD)</t>
  </si>
  <si>
    <t>Apresenta Laudo de Aterramento Elétrico para equipamentos de grande porte ou que emitam energia (ex: lasers, ultrassom).</t>
  </si>
  <si>
    <t>NR 10</t>
  </si>
  <si>
    <t xml:space="preserve"> Manuais do Fabricante</t>
  </si>
  <si>
    <t>Possui um programa de qualificação de fornecedores para insumos críticos (medicamentos, produtos para saúde, etc.)?</t>
  </si>
  <si>
    <t>Apresenta laudos de potabilidade da água, conforme periodicidade da legislação local?</t>
  </si>
  <si>
    <t>Portaria GM/MS Nº 888/2021</t>
  </si>
  <si>
    <t>As instruções pós-procedimento são fornecidas por escrito aos pacientes, com orientações claras e contatos de emergência?</t>
  </si>
  <si>
    <t xml:space="preserve"> Boas Práticas</t>
  </si>
  <si>
    <t>O estabelecimento possui toda a sinalização obrigatória visível (nome do RT, telefones de emergência, direitos do paciente, etc.)?</t>
  </si>
  <si>
    <t>Legislação Local</t>
  </si>
  <si>
    <t>O ar condicionado, se existente, possui plano de manutenção (PMOC + 60.000 BTU apenas) e registros de limpeza dos filtros.</t>
  </si>
  <si>
    <t>Possui Alvará ou Licença Sanitária vigente, compatível com as atividades declaradas e afixada em local visível ao público.</t>
  </si>
  <si>
    <t>Apresenta o Plano de Segurança do Paciente (PSP) implantado, com os 6 protocolos básicos estabelecidos.</t>
  </si>
  <si>
    <t>Possui Manual de Rotinas e Procedimentos (ou Manual de Biossegurança) contemplando todos os processos e condutas em caso de acidentes.</t>
  </si>
  <si>
    <t>Possui Procedimentos Operacionais Padrão (POPs) para todas as atividades críticas (limpeza, esterilização, uso de equipamentos, etc.).</t>
  </si>
  <si>
    <t>Apresenta prontuários dos pacientes preenchidos adequadamente, sem rasuras, com assinatura do profissional e arquivados de forma a garantir sigilo e segurança.</t>
  </si>
  <si>
    <t>Apresenta Termo de Consentimento Livre e Esclarecido (TCLE) específico para cada procedimento invasivo realizado.</t>
  </si>
  <si>
    <t>Possui Projeto Básico de Arquitetura (PBA) ou Laudo Técnico de Avaliação (LTA) aprovado pela VISA, quando aplicável.</t>
  </si>
  <si>
    <t>Apresenta relação formal de todos os profissionais que atuam no estabelecimento, com suas respectivas habilitações.</t>
  </si>
  <si>
    <t>Existe um programa de educação permanente documentado para todos os funcionários, com cronograma definido.</t>
  </si>
  <si>
    <t>Possui vestiário com armários individuais para guarda de pertences dos funcionários, e uma copa ou local para descanso e refeições.</t>
  </si>
  <si>
    <t>Pisos, paredes e tetos de todas as áreas são de material liso, lavável, impermeável e estão em bom estado de conservação.</t>
  </si>
  <si>
    <t>Todo o mobiliário (macas, bancadas, carrinhos, armários) é de material liso, lavável, impermeável, íntegro e resistente.</t>
  </si>
  <si>
    <t>As instalações (elétricas, hidráulicas) estão embutidas ou protegidas por calhas e em bom estado, sem fios expostos.</t>
  </si>
  <si>
    <t>A iluminação e ventilação (natural ou artificial) são adequadas em todas as áreas, incluindo a sala de espera.</t>
  </si>
  <si>
    <t>Possui sanitários para funcionários e público, distintos, completos e em bom estado de funcionamento.</t>
  </si>
  <si>
    <t>A sala de procedimentos é exclusiva para este fim, com dimensões adequadas e devidamente identificada.</t>
  </si>
  <si>
    <t>Possui lavatório para higiene das mãos na sala de procedimento, de uso exclusivo, dotado de todos os insumos (sabonete, papel, lixeira com pedal).</t>
  </si>
  <si>
    <t>Possui Depósito de Material de Limpeza (DML) com tanque e local exclusivo para guarda de saneantes.</t>
  </si>
  <si>
    <t>O estabelecimento está organizado, limpo e livre de materiais em desuso ou alheios à atividade.</t>
  </si>
  <si>
    <t>A área de recepção/espera é separada das áreas de procedimento e oferece condições de conforto e higiene.</t>
  </si>
  <si>
    <t>As janelas das áreas críticas possuem tela milimétrica para proteção contra vetores.</t>
  </si>
  <si>
    <t>Os ralos, se existentes em áreas críticas, possuem sistema de fechamento (grelha ou similar).</t>
  </si>
  <si>
    <t>Possui Central de Material e Esterilização (CME) ou área de processamento com barreira física e fluxo unidirecional (sujo/limpo).</t>
  </si>
  <si>
    <t>A limpeza de instrumentais utiliza detergente enzimático regularizado na ANVISA, em cuba de imersão ou lavadora ultrassônica.</t>
  </si>
  <si>
    <t>A pia de lavagem de instrumentais (expurgo) é exclusiva para este fim, com cuba profunda e separada da área limpa.</t>
  </si>
  <si>
    <t>A esterilização de artigos críticos é feita exclusivamente por autoclave com registro na ANVISA, instalada em bancada apropriada.</t>
  </si>
  <si>
    <t>Apresenta validação (qualificação de instalação, operação e desempenho) da autoclave, realizada por empresa especializada.</t>
  </si>
  <si>
    <t>Mantém registros de todos os ciclos de esterilização e dos testes de monitoramento, garantindo a rastreabilidade.</t>
  </si>
  <si>
    <t>Os materiais esterilizados possuem etiqueta com data de esterilização, validade, lote e responsável pelo preparo.</t>
  </si>
  <si>
    <t>O armazenamento de material estéril é feito em armário fechado, exclusivo, limpo, seco e de acesso restrito.</t>
  </si>
  <si>
    <t>As embalagens utilizadas para esterilização (grau cirúrgico) são apropriadas e regularizadas na ANVISA.</t>
  </si>
  <si>
    <t>Possui registro da limpeza e desinfecção periódica da área de processamento de artigos (CME).</t>
  </si>
  <si>
    <t>Os profissionais utilizam EPIs completos e adequados para cada tipo de procedimento.</t>
  </si>
  <si>
    <t>Possui protocolo de Higiene das Mãos implantado e disponibiliza preparação alcoólica em pontos estratégicos.</t>
  </si>
  <si>
    <t>É realizada a desinfecção de superfícies (macas, bancadas, equipamentos) entre um paciente e outro.</t>
  </si>
  <si>
    <t>Materiais perfurocortantes são descartados em coletores rígidos, localizados em suporte seguro e substituídos ao atingir o limite.</t>
  </si>
  <si>
    <t>É utilizada barreira de proteção descartável (lençol, filme PVC) em equipamentos e mobiliário que entram em contato com o paciente.</t>
  </si>
  <si>
    <t>Possui protocolo para manejo de intercorrências e emergências, com plano de encaminhamento definido.</t>
  </si>
  <si>
    <t>Adota o protocolo de identificação do paciente para garantir que o procedimento seja realizado na pessoa correta.</t>
  </si>
  <si>
    <t>As instruções pós-procedimento são fornecidas por escrito aos pacientes, com orientações claras e contatos de emergência.</t>
  </si>
  <si>
    <t>É realizada a rastreabilidade dos produtos (lote, validade) e equipamentos utilizados em cada paciente, vinculada ao prontuário.</t>
  </si>
  <si>
    <t>Todos os equipamentos possuem registro ou notificação na ANVISA e são utilizados estritamente para a finalidade aprovada.</t>
  </si>
  <si>
    <t>Possui o manual de instruções de todos os equipamentos em português e acessível aos operadores.</t>
  </si>
  <si>
    <t>Os saneantes utilizados para limpeza e desinfecção são regularizados na ANVISA e utilizados conforme a diluição e tempo corretos.</t>
  </si>
  <si>
    <t>Os produtos expostos à venda (cosméticos, etc.) estão regularizados junto à ANVISA e armazenados de forma segregada dos de uso profissional.</t>
  </si>
  <si>
    <t>É proibido o fracionamento de produtos, exceto se especificado pelo fabricante e seguindo critérios técnicos de biossegurança.</t>
  </si>
  <si>
    <t>Produtos abertos ou fracionados possuem identificação com nome, data de abertura e nova data de validade.</t>
  </si>
  <si>
    <t>Possui refrigerador exclusivo para medicamentos e termolábeis, com controle e registro diário de temperatura (mínima e máxima).</t>
  </si>
  <si>
    <t>O local de armazenamento de medicamentos controlados (Portaria 344/98) é exclusivo, trancado com chave e de acesso restrito.</t>
  </si>
  <si>
    <t>Realiza e mantém os registros do Balanço de Substâncias Psicoativas e Outras (BSPO), conforme legislação.</t>
  </si>
  <si>
    <t>Há controle de temperatura e integridade para amostras grátis de medicamentos, sob responsabilidade do prescritor.</t>
  </si>
  <si>
    <t>Os medicamentos manipulados possuem rótulo com os dados da farmácia de manipulação e do paciente/clínica.</t>
  </si>
  <si>
    <t>Os recipientes de descarte (lixeiras) são adequados ao tipo de resíduo, com tampa de acionamento por pedal e simbologia correta.</t>
  </si>
  <si>
    <t>Os resíduos são retirados das salas de procedimento quando o recipiente atingir 2/3 da capacidade ou no mínimo a cada 48h.</t>
  </si>
  <si>
    <t>Possui abrigo externo de resíduos, em conformidade com a RDC 222/2018 (separado, identificado, protegido, com ponto de água).</t>
  </si>
  <si>
    <t>Apresenta comprovante de controle de vetores e pragas urbanas, realizado por empresa licenciada e dentro da validade.</t>
  </si>
  <si>
    <t>O estabelecimento possui extintores de incêndio com carga e validade em dia e em locais sinalizados.</t>
  </si>
  <si>
    <t>Há bebedouro com água potável disponível para funcionários e clientes, com manutenção em dia.</t>
  </si>
  <si>
    <t>A validade dos produtos saneantes é controlada e os mesmos são armazenados em local próprio (DML).</t>
  </si>
  <si>
    <t>Os uniformes dos funcionários estão limpos, em bom estado de conservação e são de uso exclusivo nas dependências do serviço.</t>
  </si>
  <si>
    <t>Existe rotina de limpeza periódica de todos os equipamentos (parte externa).</t>
  </si>
  <si>
    <t>O estabelecimento possui um local seguro para a guarda de pertences de clientes/pacientes.</t>
  </si>
  <si>
    <t>O estabelecimento possui e implementa um programa de gerenciamento de tecnologias em saúde.</t>
  </si>
  <si>
    <t>GESTÃO DA QUALIDADE</t>
  </si>
  <si>
    <t>A instituição avalia periodicamente seus processos e indicadores de qualidade e segurança.</t>
  </si>
  <si>
    <t>Existe uma política institucional documentada que proíbe o reprocessamento de artigos de uso único.</t>
  </si>
  <si>
    <t>O serviço de saúde realiza a vigilância epidemiológica de eventos adversos, incluindo surtos e infecções relacionadas à assistência.</t>
  </si>
  <si>
    <t>RDC 36/2013</t>
  </si>
  <si>
    <t>Os profissionais possuem descrição de cargo com suas atribuições, responsabilidades e autoridades.</t>
  </si>
  <si>
    <t>A direção do serviço promove uma cultura de segurança, incentivando a comunicação e a notificação de incidentes sem caráter punitivo.</t>
  </si>
  <si>
    <t>Nota Técnica 02/2024/ANVISA;  Resoluções de Conselhos Profissionais</t>
  </si>
  <si>
    <t>RDC nº 63/2011;  NR 32</t>
  </si>
  <si>
    <t>RDC 63/2011; LGPD</t>
  </si>
  <si>
    <t>Resolução CNS nº 466/2012;  Código de Ética Profissional</t>
  </si>
  <si>
    <t>RDC 63/2011;  RDC 751/2022</t>
  </si>
  <si>
    <t>NR 24;  RDC 50/2002</t>
  </si>
  <si>
    <t>RDC nº 50/2002;  NR-10</t>
  </si>
  <si>
    <t>RDC nº 63/2011;  RDC 50/2002</t>
  </si>
  <si>
    <t>RDC nº 15/2012;  RDC 50/2002</t>
  </si>
  <si>
    <t>RDC nº 156/2006;  RE 2605/2006</t>
  </si>
  <si>
    <t>RDC nº 36/2013;  RDC 42/2010</t>
  </si>
  <si>
    <t>NR 32;  RDC 63/2011</t>
  </si>
  <si>
    <t>RDC nº 222/2018;  NR 32</t>
  </si>
  <si>
    <t>RDC nº 63/2011;  Nota Técnica 02/2024/ANVISA</t>
  </si>
  <si>
    <t>RDC 63/2011;  Resoluções de Conselhos Profissionais</t>
  </si>
  <si>
    <t>Código de Defesa do Consumidor;  Boas Práticas</t>
  </si>
  <si>
    <t>RDC 63/2011;  RDC 36/2013</t>
  </si>
  <si>
    <t>RDC 63/2011;  Boas Práticas de Armazenamento</t>
  </si>
  <si>
    <t>Lei do Exercício Profissional;  Resoluções de Conselhos</t>
  </si>
  <si>
    <t>Código de Defesa do Consumidor; Resoluções de Conselhos</t>
  </si>
  <si>
    <t>Legislação Local;  Boas Práticas</t>
  </si>
  <si>
    <t>RDC 63/2011;  RE 2605/2006</t>
  </si>
  <si>
    <t>RDC 36/2013;  Portaria 2616/98</t>
  </si>
  <si>
    <t>Possui contratos e licenças sanitárias de todas as empresas terceirizadas  (coleta de resíduos, controle de pragas, lavanderia, ar-condicionado etc.).</t>
  </si>
  <si>
    <t>Eixo</t>
  </si>
  <si>
    <t>Item de inspeção</t>
  </si>
  <si>
    <t>Como comprovar</t>
  </si>
  <si>
    <t>1. Crie um Procedimento Operacional Padrão (POP):
Você deve redigir um documento chamado "POP 0XX - Qualificação de Fornecedores e Aquisição de Insumos". Este POP será o guia mestre do seu cliente.
Estrutura do POP:
Objetivo: Definir a sistemática para garantir que todos os insumos de saúde sejam adquiridos de fornecedores qualificados e regularizados, assegurando a qualidade e segurança dos produtos.
Etapas do Processo:
Cadastro e Qualificação Inicial: "Antes de realizar a primeira compra com um novo fornecedor, o responsável (Ex: gestor da clínica) deverá realizar a consulta e arquivar na pasta do fornecedor os seguintes documentos: CNPJ, Licença Sanitária e AFE da Anvisa."
Processo de Compra: "Toda compra deverá ser acompanhada da respectiva Nota Fiscal, que deve ser conferida no ato do recebimento."
Recebimento e Conferência: "No recebimento, conferir: (a) se os dados da NF batem com os produtos entregues; (b) a integridade das embalagens; (c) o número do lote e a data de validade; (d) se o número de registro na ANVISA que consta na embalagem é válido (pode ser consultado no site da agência)."
Arquivamento: "A Nota Fiscal deverá ser arquivada na pasta do respectivo fornecedor."
Monitoramento Anual: "Anualmente, no mês de [Ex: Janeiro], o responsável deverá realizar uma nova consulta da Licença Sanitária e da AFE de todos os fornecedores ativos para garantir que continuam regularizados."
2. Crie uma Ferramenta de Controle:
Elabore uma planilha simples chamada "Lista Mestra de Fornecedores Qualificados" com as seguintes colunas:
Nome do Fornecedor	CNPJ	Produto Principal Fornecido	Data da Qualificação Inicial	Validade da Licença Sanitária	Validade da AFE	Status (Ativo/Inativo)
Ao final, você entrega para o cliente:
O POP impresso e assinado por você e pelo RT da clínica.
A planilha de controle (digital).
A orientação para a criação das pastas físicas ou digitais.</t>
  </si>
  <si>
    <t>Possui um processo de qualificação de fornecedores para insumos críticos, mantendo arquivada a documentação legal de cada um (Alvará Sanitário, AFE) e todas as respectivas notas fiscais de compra para garantir a rastreabilidade.</t>
  </si>
  <si>
    <t>NR 10;  Manuais do Fabricante; ABNT NBR 13534</t>
  </si>
  <si>
    <r>
      <t xml:space="preserve">Emitir um </t>
    </r>
    <r>
      <rPr>
        <b/>
        <sz val="11"/>
        <color theme="1"/>
        <rFont val="Aptos Narrow"/>
        <family val="2"/>
        <scheme val="minor"/>
      </rPr>
      <t>Laudo Técnico</t>
    </r>
    <r>
      <rPr>
        <sz val="11"/>
        <color theme="1"/>
        <rFont val="Aptos Narrow"/>
        <family val="2"/>
        <scheme val="minor"/>
      </rPr>
      <t xml:space="preserve"> descrevendo as condições da instalação e um </t>
    </r>
    <r>
      <rPr>
        <b/>
        <sz val="11"/>
        <color theme="1"/>
        <rFont val="Aptos Narrow"/>
        <family val="2"/>
        <scheme val="minor"/>
      </rPr>
      <t>ART (Anotação de Responsabilidade Técnica) por Engenheiro Eletricista/técnico</t>
    </r>
    <r>
      <rPr>
        <sz val="11"/>
        <color theme="1"/>
        <rFont val="Aptos Narrow"/>
        <family val="2"/>
        <scheme val="minor"/>
      </rPr>
      <t>, assumindo a responsabilidade pela avaliação.</t>
    </r>
  </si>
  <si>
    <t>Apresenta PCMSO (Programa de Controle Médico de Saúde Ocupacional), obrigatório para estabelecimentos com funcionários contratados sob o regime CLT.</t>
  </si>
  <si>
    <t>Apresenta PGR (Programa de Gerenciamento de Riscos), incluindo Mapa de Risco do estabelecimento, obrigatório para estabelecimentos com funcionários contratados sob o regime CLT</t>
  </si>
  <si>
    <t>https://pgr.trabalho.gov.br/#!</t>
  </si>
  <si>
    <t>https://focusdocumentosfacilsst.com.br/pgr-e-pcmso-facil/?gad_source=1&amp;gad_campaignid=8297369203&amp;gclid=Cj0KCQjw3OjGBhDYARIsADd-uX4BF4zD5_0FAE778GNZEhv_3FWVBMWuCPasVLGF0d9AS5tDNR_2D1IaAtfhEALw_wcB#contato</t>
  </si>
  <si>
    <t>Como Comprovar a Conformidade
Para o NSP:
O que ter: Um documento simples (1 página) chamado "Ato de Instituição do NSP", datado e assinado pelo responsável legal da clínica, designando nominalmente o profissional responsável pelo Núcleo. O Responsável Técnico é a escolha natural para esta função.
Para a Notificação de Eventos Adversos:
O que ter (Documento): Crie um "POP de Gerenciamento de Riscos e Notificação de Eventos Adversos". Este POP deve descrever o fluxo:
Identificação: Como a equipe identifica um evento adverso (intercorrência, reação inesperada, etc.).
Registro Interno: Onde o evento é registrado (no prontuário do paciente e em um livro/planilha de controle de intercorrências).
Análise: Quem analisa o evento (o RT/NSP).
Notificação Externa: "Eventos adversos graves relacionados a produtos para saúde, medicamentos ou cosméticos, bem como queixas técnicas, serão notificados à ANVISA em até 72 horas através do sistema online NOTIVISA".
O que ter (Prática): O cliente deve ter o cadastro ativo no sistema NOTIVISA. O fiscal pode pedir para ver a tela de acesso ou os comprovantes de notificação, caso algum evento já tenha ocorrido.
Profissionais Habilitados
Responsável Técnico (RT): É o profissional central. Ele é o responsável por ser o NSP, por elaborar o POP de notificações e por efetivamente realizar as notificações no sistema da ANVISA.
Consultora (Você): Seu papel é crucial para desmistificar o tema. Você deve:
Fornecer os Modelos: Entregue ao cliente o modelo do "Ato de Instituição do NSP" e o "POP de Gerenciamento de Riscos e Notificação de Eventos Adversos".
Orientar no Cadastro: Ajude o cliente a fazer o cadastro do estabelecimento no sistema NOTIVISA. É um passo que muitos não sabem como dar.
Educar sobre a Nova RDC 864/2024: Explique que a cultura de notificar não é mais opcional e agora abrange formalmente os cosméticos, o que aumenta a responsabilidade da clínica.</t>
  </si>
  <si>
    <t>O estabelecimento (se aplicável, exceto consultórios individualizados) possui Núcleo de Segurança do Paciente (NSP) formalmente instituído.</t>
  </si>
  <si>
    <t>RDC nº 36/2013; RDC 751/2022; RDC 864/2024</t>
  </si>
  <si>
    <t>O estabelecimento possui Maleta de Intercorrências equipada para suporte básico de vida, com materiais e medicamentos essenciais (ex: para anafilaxia), controle de validade e em local de fácil acesso.</t>
  </si>
  <si>
    <t>Conteúdo Essencial da Maleta de Intercorrências
A maleta deve conter os insumos necessários para o Suporte Básico de Vida (SBV) e para o manejo das intercorrências mais comuns e graves na estética, como reações alérgicas severas (anafilaxia). O conteúdo exato deve ser definido pelo Responsável Técnico (RT) da clínica, com base nos procedimentos realizados.
Materiais e Equipamentos:
Esfigmomanômetro e Estetoscópio
Oxímetro de pulso portátil
Glicosímetro com fitas reagentes
Termômetro
Cânulas de Guedel (tamanhos variados)
Máscara de bolso (pocket mask) para ventilação
Fonte de oxigênio portátil (cilindro) com máscara
Materiais de acesso venoso (cateteres, equipo) e Soro Fisiológico 0,9%
Seringas, agulhas, luvas de procedimento e gaze
Medicamentos Essenciais:
O foco é o tratamento da anafilaxia. A posse e o uso devem seguir as competências legais do profissional.
Adrenalina (Epinefrina) 1mg/mL injetável: O medicamento mais importante para reações anafiláticas.
Corticoide de ação rápida injetável: Ex: Hidrocortisona 100mg ou 500mg.
Anti-histamínico injetável: Ex: Prometazina (Fenergan®) ou Dextroclorfeniramina (Polaramine®).
Glicose 50% injetável: Para casos de hipoglicemia severa.</t>
  </si>
  <si>
    <t>Curso Manejo Inter Estetica: https://www.youtube.com/watch?v=L2wTtpD-KyE curso pago completo: https://institutoantonybarbosa.com.br/curso-manejo-de-intercorrencias-em-procedimentos-faciais-e-corporais</t>
  </si>
  <si>
    <t>Apresenta laudos de potabilidade da água, conforme periodicidade semestral.</t>
  </si>
  <si>
    <t>O ar condicionado, se existente, possui plano de manutenção e registros de limpeza dos filtros.</t>
  </si>
  <si>
    <t>O estabelecimento possui toda a sinalização visível (nome do RT, telefones de emergência, direitos do paciente, etc.).</t>
  </si>
  <si>
    <t>Caso o estabelecimento utilize medicamentos sujeitos a controle especial da Portaria SVS/MS 344/98 (ex: anorexígenos, anabolizantes), apresenta a Autorização de Funcionamento Especial (AFE)? (precisa de farmacêutico)</t>
  </si>
  <si>
    <t>Legenda</t>
  </si>
  <si>
    <t>Vermelho (Imprescindível): São os itens de "tolerância zero". A não conformidade aqui pode levar à interdição imediata do estabelecimento. São os pilares da segurança e da legalidade.
Amarelo (Necessário): Representam as boas práticas essenciais. A falha nestes pontos geralmente resulta em um auto de infração com prazo para adequação.
Azul (Recomendado) e Branco (Sugerido): Demonstram um nível de excelência e gestão da qualidade que vai além do básico. São os itens que impressionam positivamente um fiscal e que, na prática, criam um ambiente muito mais seguro e profissional.</t>
  </si>
  <si>
    <t>STATUS</t>
  </si>
  <si>
    <t>CRITICIDADE</t>
  </si>
  <si>
    <t>Imprescindível</t>
  </si>
  <si>
    <t>Necessário</t>
  </si>
  <si>
    <t xml:space="preserve">Recomendado </t>
  </si>
  <si>
    <t xml:space="preserve">Sugerido </t>
  </si>
  <si>
    <t>PESO</t>
  </si>
  <si>
    <t>SIM</t>
  </si>
  <si>
    <t>NÃO</t>
  </si>
  <si>
    <t>PONTOS OBTIDOS</t>
  </si>
  <si>
    <t>ÍNDICE DE CONFORMIDADE GERAL</t>
  </si>
  <si>
    <t>Pontuação Máxima Aplicável</t>
  </si>
  <si>
    <t>Pontuação Total Obtida</t>
  </si>
  <si>
    <t>N/A</t>
  </si>
  <si>
    <t>CONFORMIDADE (Imprescindível)</t>
  </si>
  <si>
    <t>Pontos Máximos (Imprescindível)</t>
  </si>
  <si>
    <t xml:space="preserve">	Pontos Obtidos (Imprescindível)</t>
  </si>
  <si>
    <t>CONFORMIDADE (Necessário)</t>
  </si>
  <si>
    <t>Pontos Máximos (Necessário)</t>
  </si>
  <si>
    <t>Pontos Obtidos (Necessário)</t>
  </si>
  <si>
    <t>Nº do Item</t>
  </si>
  <si>
    <t>Criticidade</t>
  </si>
  <si>
    <t>Item Não Conforme</t>
  </si>
  <si>
    <t>Ação Corretiva</t>
  </si>
  <si>
    <t>Responsável</t>
  </si>
  <si>
    <t>Prazo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</si>
</sst>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Times New Roman"/>
      <family val="1"/>
    </font>
    <font>
      <sz val="11"/>
      <color theme="1"/>
      <name val="Times New Roman"/>
      <family val="1"/>
    </font>
    <font>
      <b/>
      <sz val="11"/>
      <color theme="1"/>
      <name val="Aptos Narrow"/>
      <family val="2"/>
      <scheme val="minor"/>
    </font>
    <font>
      <u/>
      <sz val="11"/>
      <color theme="10"/>
      <name val="Aptos Narrow"/>
      <family val="2"/>
      <scheme val="minor"/>
    </font>
    <font>
      <b/>
      <sz val="11"/>
      <name val="Times New Roman"/>
      <family val="1"/>
    </font>
    <font>
      <sz val="11"/>
      <name val="Times New Roman"/>
      <family val="1"/>
    </font>
    <font>
      <sz val="11"/>
      <color theme="1"/>
      <name val="Aptos Narrow"/>
      <family val="2"/>
      <scheme val="minor"/>
    </font>
    <font>
      <sz val="11"/>
      <color theme="0"/>
      <name val="Times New Roman"/>
      <family val="1"/>
    </font>
  </fonts>
  <fills count="18">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5050"/>
        <bgColor indexed="64"/>
      </patternFill>
    </fill>
    <fill>
      <patternFill patternType="solid">
        <fgColor theme="8" tint="0.39997558519241921"/>
        <bgColor indexed="64"/>
      </patternFill>
    </fill>
    <fill>
      <patternFill patternType="solid">
        <fgColor rgb="FF00FFFF"/>
        <bgColor indexed="64"/>
      </patternFill>
    </fill>
    <fill>
      <patternFill patternType="solid">
        <fgColor theme="5" tint="0.59999389629810485"/>
        <bgColor indexed="64"/>
      </patternFill>
    </fill>
    <fill>
      <patternFill patternType="solid">
        <fgColor rgb="FF92D050"/>
        <bgColor indexed="64"/>
      </patternFill>
    </fill>
    <fill>
      <patternFill patternType="solid">
        <fgColor rgb="FFFFFF00"/>
        <bgColor indexed="64"/>
      </patternFill>
    </fill>
    <fill>
      <patternFill patternType="solid">
        <fgColor rgb="FFFF00FF"/>
        <bgColor indexed="64"/>
      </patternFill>
    </fill>
    <fill>
      <patternFill patternType="solid">
        <fgColor rgb="FFCC99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4" fillId="0" borderId="0" applyNumberFormat="0" applyFill="0" applyBorder="0" applyAlignment="0" applyProtection="0"/>
    <xf numFmtId="9" fontId="7" fillId="0" borderId="0" applyFont="0" applyFill="0" applyBorder="0" applyAlignment="0" applyProtection="0"/>
  </cellStyleXfs>
  <cellXfs count="47">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2" borderId="0" xfId="0" applyFont="1" applyFill="1" applyAlignment="1">
      <alignment vertical="center" wrapText="1"/>
    </xf>
    <xf numFmtId="0" fontId="2" fillId="0" borderId="0" xfId="0" applyFont="1" applyAlignment="1">
      <alignment vertical="center" wrapText="1"/>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2" fillId="5" borderId="0" xfId="0" applyFont="1" applyFill="1" applyAlignment="1">
      <alignment vertical="center" wrapText="1"/>
    </xf>
    <xf numFmtId="0" fontId="2" fillId="6" borderId="0" xfId="0" applyFont="1" applyFill="1" applyAlignment="1">
      <alignment vertical="center" wrapText="1"/>
    </xf>
    <xf numFmtId="0" fontId="2" fillId="7" borderId="0" xfId="0" applyFont="1" applyFill="1" applyAlignment="1">
      <alignment horizontal="center" vertical="center" wrapText="1"/>
    </xf>
    <xf numFmtId="0" fontId="2" fillId="7" borderId="0" xfId="0" applyFont="1" applyFill="1" applyAlignment="1">
      <alignment vertical="center" wrapText="1"/>
    </xf>
    <xf numFmtId="0" fontId="2" fillId="8" borderId="0" xfId="0" applyFont="1" applyFill="1" applyAlignment="1">
      <alignment vertical="center" wrapText="1"/>
    </xf>
    <xf numFmtId="0" fontId="2" fillId="9" borderId="0" xfId="0" applyFont="1" applyFill="1" applyAlignment="1">
      <alignment vertical="center" wrapText="1"/>
    </xf>
    <xf numFmtId="0" fontId="2" fillId="10" borderId="0" xfId="0" applyFont="1" applyFill="1" applyAlignment="1">
      <alignment horizontal="center" vertical="center" wrapText="1"/>
    </xf>
    <xf numFmtId="0" fontId="2" fillId="10" borderId="0" xfId="0" applyFont="1" applyFill="1" applyAlignment="1">
      <alignment vertical="center" wrapText="1"/>
    </xf>
    <xf numFmtId="0" fontId="2" fillId="11" borderId="0" xfId="0" applyFont="1" applyFill="1" applyAlignment="1">
      <alignment vertical="center" wrapText="1"/>
    </xf>
    <xf numFmtId="0" fontId="2" fillId="12" borderId="0" xfId="0" applyFont="1" applyFill="1" applyAlignment="1">
      <alignment vertical="center" wrapText="1"/>
    </xf>
    <xf numFmtId="0" fontId="2" fillId="13" borderId="0" xfId="0" applyFont="1" applyFill="1" applyAlignment="1">
      <alignment horizontal="center" vertical="center" wrapText="1"/>
    </xf>
    <xf numFmtId="0" fontId="2" fillId="13" borderId="0" xfId="0" applyFont="1" applyFill="1" applyAlignment="1">
      <alignment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2" fillId="2" borderId="0" xfId="0" applyFont="1" applyFill="1" applyAlignment="1">
      <alignment horizontal="left" vertical="center" wrapText="1"/>
    </xf>
    <xf numFmtId="0" fontId="0" fillId="0" borderId="0" xfId="0" applyAlignment="1">
      <alignment horizontal="left" vertical="center" wrapText="1"/>
    </xf>
    <xf numFmtId="0" fontId="4" fillId="0" borderId="0" xfId="1" applyAlignment="1">
      <alignment horizontal="left" vertical="center" wrapText="1"/>
    </xf>
    <xf numFmtId="0" fontId="2" fillId="14" borderId="0" xfId="0" applyFont="1" applyFill="1" applyAlignment="1">
      <alignment horizontal="center" vertical="center" wrapText="1"/>
    </xf>
    <xf numFmtId="0" fontId="2" fillId="14" borderId="0" xfId="0" applyFont="1" applyFill="1" applyAlignment="1">
      <alignment vertical="center" wrapText="1"/>
    </xf>
    <xf numFmtId="0" fontId="2" fillId="15" borderId="0" xfId="0" applyFont="1" applyFill="1" applyAlignment="1">
      <alignment vertical="center" wrapText="1"/>
    </xf>
    <xf numFmtId="0" fontId="2" fillId="16" borderId="0" xfId="0" applyFont="1" applyFill="1" applyAlignment="1">
      <alignment horizontal="center" vertical="center" wrapText="1"/>
    </xf>
    <xf numFmtId="0" fontId="2" fillId="16" borderId="0" xfId="0" applyFont="1" applyFill="1" applyAlignment="1">
      <alignment vertical="center" wrapText="1"/>
    </xf>
    <xf numFmtId="0" fontId="2" fillId="17" borderId="0" xfId="0" applyFont="1" applyFill="1" applyAlignment="1">
      <alignmen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1" fontId="2" fillId="0" borderId="0" xfId="0" applyNumberFormat="1" applyFont="1" applyAlignment="1">
      <alignment vertical="center" wrapText="1"/>
    </xf>
    <xf numFmtId="1" fontId="1" fillId="0" borderId="0" xfId="0" applyNumberFormat="1" applyFont="1" applyAlignment="1">
      <alignment vertical="center" wrapText="1"/>
    </xf>
    <xf numFmtId="1" fontId="0" fillId="0" borderId="0" xfId="0" applyNumberFormat="1"/>
    <xf numFmtId="1" fontId="1" fillId="0" borderId="0" xfId="0" applyNumberFormat="1" applyFont="1" applyAlignment="1">
      <alignment horizontal="center" vertical="center" wrapText="1"/>
    </xf>
    <xf numFmtId="0" fontId="1" fillId="10" borderId="0" xfId="0" applyFont="1" applyFill="1" applyAlignment="1">
      <alignment vertical="center" wrapText="1"/>
    </xf>
    <xf numFmtId="0" fontId="1" fillId="11" borderId="0" xfId="0" applyFont="1" applyFill="1" applyAlignment="1">
      <alignment vertical="center" wrapText="1"/>
    </xf>
    <xf numFmtId="9" fontId="1" fillId="11" borderId="0" xfId="2" applyFont="1" applyFill="1" applyAlignment="1">
      <alignment vertical="center" wrapText="1"/>
    </xf>
    <xf numFmtId="1" fontId="2" fillId="11" borderId="0" xfId="0" applyNumberFormat="1" applyFont="1" applyFill="1" applyAlignment="1">
      <alignment vertical="center" wrapText="1"/>
    </xf>
    <xf numFmtId="0" fontId="1" fillId="14" borderId="0" xfId="0" applyFont="1" applyFill="1" applyAlignment="1">
      <alignment vertical="center" wrapText="1"/>
    </xf>
    <xf numFmtId="9" fontId="1" fillId="14" borderId="0" xfId="2" applyFont="1" applyFill="1" applyAlignment="1">
      <alignment vertical="center" wrapText="1"/>
    </xf>
    <xf numFmtId="9" fontId="2" fillId="10" borderId="0" xfId="2" applyFont="1" applyFill="1" applyAlignment="1">
      <alignment vertical="center" wrapText="1"/>
    </xf>
    <xf numFmtId="0" fontId="1" fillId="13" borderId="0" xfId="0" applyFont="1" applyFill="1" applyAlignment="1">
      <alignment vertical="center" wrapText="1"/>
    </xf>
    <xf numFmtId="0" fontId="0" fillId="0" borderId="0" xfId="0" applyAlignment="1">
      <alignment wrapText="1"/>
    </xf>
    <xf numFmtId="0" fontId="8" fillId="0" borderId="0" xfId="0" applyFont="1" applyAlignment="1">
      <alignment vertical="center" wrapText="1"/>
    </xf>
  </cellXfs>
  <cellStyles count="3">
    <cellStyle name="Hiperlink" xfId="1" builtinId="8"/>
    <cellStyle name="Normal" xfId="0" builtinId="0"/>
    <cellStyle name="Porcentagem" xfId="2"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00FF"/>
      <color rgb="FFCC9900"/>
      <color rgb="FF00FF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09C-4F81-A3E2-54B5AE63FC42}"/>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09C-4F81-A3E2-54B5AE63FC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pt-BR"/>
                </a:p>
              </c:txPr>
              <c:dLblPos val="outEnd"/>
              <c:showLegendKey val="0"/>
              <c:showVal val="0"/>
              <c:showCatName val="1"/>
              <c:showSerName val="0"/>
              <c:showPercent val="0"/>
              <c:showBubbleSize val="0"/>
              <c:extLst>
                <c:ext xmlns:c16="http://schemas.microsoft.com/office/drawing/2014/chart" uri="{C3380CC4-5D6E-409C-BE32-E72D297353CC}">
                  <c16:uniqueId val="{00000001-709C-4F81-A3E2-54B5AE63FC4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pt-BR"/>
                </a:p>
              </c:txPr>
              <c:dLblPos val="outEnd"/>
              <c:showLegendKey val="0"/>
              <c:showVal val="0"/>
              <c:showCatName val="1"/>
              <c:showSerName val="0"/>
              <c:showPercent val="0"/>
              <c:showBubbleSize val="0"/>
              <c:extLst>
                <c:ext xmlns:c16="http://schemas.microsoft.com/office/drawing/2014/chart" uri="{C3380CC4-5D6E-409C-BE32-E72D297353CC}">
                  <c16:uniqueId val="{00000002-709C-4F81-A3E2-54B5AE63FC42}"/>
                </c:ext>
              </c:extLst>
            </c:dLbl>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ROI!$K$10:$K$11</c:f>
              <c:strCache>
                <c:ptCount val="2"/>
                <c:pt idx="0">
                  <c:v>SIM</c:v>
                </c:pt>
                <c:pt idx="1">
                  <c:v>NÃO</c:v>
                </c:pt>
              </c:strCache>
            </c:strRef>
          </c:cat>
          <c:val>
            <c:numRef>
              <c:f>ROI!$L$10:$L$11</c:f>
              <c:numCache>
                <c:formatCode>General</c:formatCode>
                <c:ptCount val="2"/>
                <c:pt idx="0">
                  <c:v>2</c:v>
                </c:pt>
                <c:pt idx="1">
                  <c:v>3</c:v>
                </c:pt>
              </c:numCache>
            </c:numRef>
          </c:val>
          <c:extLst>
            <c:ext xmlns:c16="http://schemas.microsoft.com/office/drawing/2014/chart" uri="{C3380CC4-5D6E-409C-BE32-E72D297353CC}">
              <c16:uniqueId val="{00000000-709C-4F81-A3E2-54B5AE63FC4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601980</xdr:colOff>
      <xdr:row>3</xdr:row>
      <xdr:rowOff>49530</xdr:rowOff>
    </xdr:from>
    <xdr:to>
      <xdr:col>11</xdr:col>
      <xdr:colOff>312420</xdr:colOff>
      <xdr:row>8</xdr:row>
      <xdr:rowOff>7620</xdr:rowOff>
    </xdr:to>
    <xdr:graphicFrame macro="">
      <xdr:nvGraphicFramePr>
        <xdr:cNvPr id="2" name="Gráfico 1">
          <a:extLst>
            <a:ext uri="{FF2B5EF4-FFF2-40B4-BE49-F238E27FC236}">
              <a16:creationId xmlns:a16="http://schemas.microsoft.com/office/drawing/2014/main" id="{B46793D7-3940-0466-A3CC-91733084F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s://focusdocumentosfacilsst.com.br/pgr-e-pcmso-facil/?gad_source=1&amp;gad_campaignid=8297369203&amp;gclid=Cj0KCQjw3OjGBhDYARIsADd-uX4BF4zD5_0FAE778GNZEhv_3FWVBMWuCPasVLGF0d9AS5tDNR_2D1IaAtfhEALw_wcB" TargetMode="External"/><Relationship Id="rId1" Type="http://schemas.openxmlformats.org/officeDocument/2006/relationships/hyperlink" Target="https://pgr.trabalho.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9D51B-06F2-4B33-B11F-667B37834B00}">
  <dimension ref="A1:E125"/>
  <sheetViews>
    <sheetView topLeftCell="A108" workbookViewId="0">
      <selection activeCell="A127" sqref="A127"/>
    </sheetView>
  </sheetViews>
  <sheetFormatPr defaultRowHeight="14.4" x14ac:dyDescent="0.3"/>
  <cols>
    <col min="1" max="1" width="4" bestFit="1" customWidth="1"/>
    <col min="2" max="2" width="40.21875" bestFit="1" customWidth="1"/>
    <col min="3" max="3" width="125.109375" bestFit="1" customWidth="1"/>
    <col min="4" max="4" width="42" bestFit="1" customWidth="1"/>
    <col min="5" max="5" width="33" bestFit="1" customWidth="1"/>
  </cols>
  <sheetData>
    <row r="1" spans="1:5" x14ac:dyDescent="0.3">
      <c r="A1" t="s">
        <v>0</v>
      </c>
      <c r="B1" t="s">
        <v>1</v>
      </c>
      <c r="C1" t="s">
        <v>2</v>
      </c>
      <c r="D1" t="s">
        <v>3</v>
      </c>
    </row>
    <row r="2" spans="1:5" x14ac:dyDescent="0.3">
      <c r="A2">
        <v>1</v>
      </c>
      <c r="B2" t="s">
        <v>4</v>
      </c>
      <c r="C2" t="s">
        <v>5</v>
      </c>
      <c r="D2" t="s">
        <v>6</v>
      </c>
    </row>
    <row r="3" spans="1:5" x14ac:dyDescent="0.3">
      <c r="A3">
        <v>2</v>
      </c>
      <c r="B3" t="s">
        <v>4</v>
      </c>
      <c r="C3" t="s">
        <v>7</v>
      </c>
      <c r="D3" t="s">
        <v>8</v>
      </c>
    </row>
    <row r="4" spans="1:5" x14ac:dyDescent="0.3">
      <c r="A4">
        <v>3</v>
      </c>
      <c r="B4" t="s">
        <v>4</v>
      </c>
      <c r="C4" t="s">
        <v>9</v>
      </c>
      <c r="D4" t="s">
        <v>10</v>
      </c>
    </row>
    <row r="5" spans="1:5" x14ac:dyDescent="0.3">
      <c r="A5">
        <v>4</v>
      </c>
      <c r="B5" t="s">
        <v>4</v>
      </c>
      <c r="C5" t="s">
        <v>11</v>
      </c>
      <c r="D5" t="s">
        <v>12</v>
      </c>
      <c r="E5" t="s">
        <v>13</v>
      </c>
    </row>
    <row r="6" spans="1:5" x14ac:dyDescent="0.3">
      <c r="A6">
        <v>5</v>
      </c>
      <c r="B6" t="s">
        <v>4</v>
      </c>
      <c r="C6" t="s">
        <v>14</v>
      </c>
      <c r="D6" t="s">
        <v>15</v>
      </c>
    </row>
    <row r="7" spans="1:5" x14ac:dyDescent="0.3">
      <c r="A7">
        <v>6</v>
      </c>
      <c r="B7" t="s">
        <v>4</v>
      </c>
      <c r="C7" t="s">
        <v>16</v>
      </c>
      <c r="D7" t="s">
        <v>17</v>
      </c>
    </row>
    <row r="8" spans="1:5" x14ac:dyDescent="0.3">
      <c r="A8">
        <v>7</v>
      </c>
      <c r="B8" t="s">
        <v>4</v>
      </c>
      <c r="C8" t="s">
        <v>18</v>
      </c>
      <c r="D8" t="s">
        <v>19</v>
      </c>
      <c r="E8" t="s">
        <v>20</v>
      </c>
    </row>
    <row r="9" spans="1:5" x14ac:dyDescent="0.3">
      <c r="A9">
        <v>8</v>
      </c>
      <c r="B9" t="s">
        <v>4</v>
      </c>
      <c r="C9" t="s">
        <v>21</v>
      </c>
      <c r="D9" t="s">
        <v>19</v>
      </c>
    </row>
    <row r="10" spans="1:5" x14ac:dyDescent="0.3">
      <c r="A10">
        <v>9</v>
      </c>
      <c r="B10" t="s">
        <v>4</v>
      </c>
      <c r="C10" t="s">
        <v>22</v>
      </c>
      <c r="D10" t="s">
        <v>23</v>
      </c>
    </row>
    <row r="11" spans="1:5" x14ac:dyDescent="0.3">
      <c r="A11">
        <v>10</v>
      </c>
      <c r="B11" t="s">
        <v>4</v>
      </c>
      <c r="C11" t="s">
        <v>24</v>
      </c>
      <c r="D11" t="s">
        <v>25</v>
      </c>
      <c r="E11" t="s">
        <v>26</v>
      </c>
    </row>
    <row r="12" spans="1:5" x14ac:dyDescent="0.3">
      <c r="A12">
        <v>11</v>
      </c>
      <c r="B12" t="s">
        <v>4</v>
      </c>
      <c r="C12" t="s">
        <v>27</v>
      </c>
      <c r="D12" t="s">
        <v>28</v>
      </c>
    </row>
    <row r="13" spans="1:5" x14ac:dyDescent="0.3">
      <c r="A13">
        <v>12</v>
      </c>
      <c r="B13" t="s">
        <v>4</v>
      </c>
      <c r="C13" t="s">
        <v>29</v>
      </c>
      <c r="D13" t="s">
        <v>30</v>
      </c>
    </row>
    <row r="14" spans="1:5" x14ac:dyDescent="0.3">
      <c r="A14">
        <v>13</v>
      </c>
      <c r="B14" t="s">
        <v>4</v>
      </c>
      <c r="C14" t="s">
        <v>177</v>
      </c>
      <c r="D14" t="s">
        <v>176</v>
      </c>
      <c r="E14" t="s">
        <v>178</v>
      </c>
    </row>
    <row r="15" spans="1:5" x14ac:dyDescent="0.3">
      <c r="A15">
        <v>14</v>
      </c>
      <c r="B15" t="s">
        <v>4</v>
      </c>
      <c r="C15" t="s">
        <v>179</v>
      </c>
      <c r="D15" t="s">
        <v>88</v>
      </c>
      <c r="E15" t="s">
        <v>180</v>
      </c>
    </row>
    <row r="16" spans="1:5" x14ac:dyDescent="0.3">
      <c r="A16">
        <v>15</v>
      </c>
      <c r="B16" t="s">
        <v>4</v>
      </c>
      <c r="C16" t="s">
        <v>31</v>
      </c>
      <c r="D16" t="s">
        <v>19</v>
      </c>
    </row>
    <row r="17" spans="1:5" x14ac:dyDescent="0.3">
      <c r="A17">
        <v>16</v>
      </c>
      <c r="B17" t="s">
        <v>4</v>
      </c>
      <c r="C17" t="s">
        <v>204</v>
      </c>
      <c r="D17" t="s">
        <v>205</v>
      </c>
      <c r="E17" t="s">
        <v>82</v>
      </c>
    </row>
    <row r="18" spans="1:5" x14ac:dyDescent="0.3">
      <c r="A18">
        <v>17</v>
      </c>
      <c r="B18" t="s">
        <v>4</v>
      </c>
      <c r="C18" t="s">
        <v>206</v>
      </c>
      <c r="D18" t="s">
        <v>207</v>
      </c>
      <c r="E18" t="s">
        <v>208</v>
      </c>
    </row>
    <row r="19" spans="1:5" x14ac:dyDescent="0.3">
      <c r="A19">
        <v>18</v>
      </c>
      <c r="B19" t="s">
        <v>4</v>
      </c>
      <c r="C19" t="s">
        <v>209</v>
      </c>
      <c r="D19" t="s">
        <v>176</v>
      </c>
    </row>
    <row r="20" spans="1:5" x14ac:dyDescent="0.3">
      <c r="A20">
        <v>19</v>
      </c>
      <c r="B20" t="s">
        <v>32</v>
      </c>
      <c r="C20" t="s">
        <v>197</v>
      </c>
      <c r="D20" t="s">
        <v>198</v>
      </c>
    </row>
    <row r="21" spans="1:5" x14ac:dyDescent="0.3">
      <c r="A21">
        <v>20</v>
      </c>
      <c r="B21" t="s">
        <v>32</v>
      </c>
      <c r="C21" t="s">
        <v>199</v>
      </c>
      <c r="D21" t="s">
        <v>181</v>
      </c>
    </row>
    <row r="22" spans="1:5" x14ac:dyDescent="0.3">
      <c r="A22">
        <v>21</v>
      </c>
      <c r="B22" t="s">
        <v>32</v>
      </c>
      <c r="C22" t="s">
        <v>33</v>
      </c>
      <c r="D22" t="s">
        <v>34</v>
      </c>
    </row>
    <row r="23" spans="1:5" x14ac:dyDescent="0.3">
      <c r="A23">
        <v>22</v>
      </c>
      <c r="B23" t="s">
        <v>32</v>
      </c>
      <c r="C23" t="s">
        <v>35</v>
      </c>
      <c r="D23" t="s">
        <v>36</v>
      </c>
    </row>
    <row r="24" spans="1:5" x14ac:dyDescent="0.3">
      <c r="A24">
        <v>23</v>
      </c>
      <c r="B24" t="s">
        <v>32</v>
      </c>
      <c r="C24" t="s">
        <v>37</v>
      </c>
      <c r="D24" t="s">
        <v>38</v>
      </c>
    </row>
    <row r="25" spans="1:5" x14ac:dyDescent="0.3">
      <c r="A25">
        <v>24</v>
      </c>
      <c r="B25" t="s">
        <v>32</v>
      </c>
      <c r="C25" t="s">
        <v>39</v>
      </c>
      <c r="D25" t="s">
        <v>40</v>
      </c>
    </row>
    <row r="26" spans="1:5" x14ac:dyDescent="0.3">
      <c r="A26">
        <v>25</v>
      </c>
      <c r="B26" t="s">
        <v>32</v>
      </c>
      <c r="C26" t="s">
        <v>41</v>
      </c>
      <c r="D26" t="s">
        <v>42</v>
      </c>
    </row>
    <row r="27" spans="1:5" x14ac:dyDescent="0.3">
      <c r="A27">
        <v>26</v>
      </c>
      <c r="B27" t="s">
        <v>43</v>
      </c>
      <c r="C27" t="s">
        <v>188</v>
      </c>
      <c r="D27" t="s">
        <v>28</v>
      </c>
    </row>
    <row r="28" spans="1:5" x14ac:dyDescent="0.3">
      <c r="A28">
        <v>27</v>
      </c>
      <c r="B28" t="s">
        <v>43</v>
      </c>
      <c r="C28" t="s">
        <v>189</v>
      </c>
      <c r="D28" t="s">
        <v>28</v>
      </c>
    </row>
    <row r="29" spans="1:5" x14ac:dyDescent="0.3">
      <c r="A29">
        <v>28</v>
      </c>
      <c r="B29" t="s">
        <v>43</v>
      </c>
      <c r="C29" t="s">
        <v>44</v>
      </c>
      <c r="D29" t="s">
        <v>28</v>
      </c>
    </row>
    <row r="30" spans="1:5" x14ac:dyDescent="0.3">
      <c r="A30">
        <v>29</v>
      </c>
      <c r="B30" t="s">
        <v>43</v>
      </c>
      <c r="C30" t="s">
        <v>45</v>
      </c>
      <c r="D30" t="s">
        <v>46</v>
      </c>
    </row>
    <row r="31" spans="1:5" x14ac:dyDescent="0.3">
      <c r="A31">
        <v>30</v>
      </c>
      <c r="B31" t="s">
        <v>43</v>
      </c>
      <c r="C31" t="s">
        <v>47</v>
      </c>
      <c r="D31" t="s">
        <v>42</v>
      </c>
    </row>
    <row r="32" spans="1:5" x14ac:dyDescent="0.3">
      <c r="A32">
        <v>31</v>
      </c>
      <c r="B32" t="s">
        <v>43</v>
      </c>
      <c r="C32" t="s">
        <v>48</v>
      </c>
      <c r="D32" t="s">
        <v>28</v>
      </c>
    </row>
    <row r="33" spans="1:5" x14ac:dyDescent="0.3">
      <c r="A33">
        <v>32</v>
      </c>
      <c r="B33" t="s">
        <v>43</v>
      </c>
      <c r="C33" t="s">
        <v>49</v>
      </c>
      <c r="D33" t="s">
        <v>28</v>
      </c>
    </row>
    <row r="34" spans="1:5" x14ac:dyDescent="0.3">
      <c r="A34">
        <v>33</v>
      </c>
      <c r="B34" t="s">
        <v>43</v>
      </c>
      <c r="C34" t="s">
        <v>50</v>
      </c>
      <c r="D34" t="s">
        <v>28</v>
      </c>
    </row>
    <row r="35" spans="1:5" x14ac:dyDescent="0.3">
      <c r="A35">
        <v>34</v>
      </c>
      <c r="B35" t="s">
        <v>43</v>
      </c>
      <c r="C35" t="s">
        <v>51</v>
      </c>
      <c r="D35" t="s">
        <v>28</v>
      </c>
    </row>
    <row r="36" spans="1:5" x14ac:dyDescent="0.3">
      <c r="A36">
        <v>35</v>
      </c>
      <c r="B36" t="s">
        <v>43</v>
      </c>
      <c r="C36" t="s">
        <v>52</v>
      </c>
      <c r="D36" t="s">
        <v>19</v>
      </c>
      <c r="E36" t="s">
        <v>53</v>
      </c>
    </row>
    <row r="37" spans="1:5" x14ac:dyDescent="0.3">
      <c r="A37">
        <v>36</v>
      </c>
      <c r="B37" t="s">
        <v>43</v>
      </c>
      <c r="C37" t="s">
        <v>54</v>
      </c>
      <c r="D37" t="s">
        <v>28</v>
      </c>
    </row>
    <row r="38" spans="1:5" x14ac:dyDescent="0.3">
      <c r="A38">
        <v>37</v>
      </c>
      <c r="B38" t="s">
        <v>43</v>
      </c>
      <c r="C38" t="s">
        <v>55</v>
      </c>
      <c r="D38" t="s">
        <v>56</v>
      </c>
    </row>
    <row r="39" spans="1:5" x14ac:dyDescent="0.3">
      <c r="A39">
        <v>38</v>
      </c>
      <c r="B39" t="s">
        <v>43</v>
      </c>
      <c r="C39" t="s">
        <v>57</v>
      </c>
      <c r="D39" t="s">
        <v>58</v>
      </c>
    </row>
    <row r="40" spans="1:5" x14ac:dyDescent="0.3">
      <c r="A40">
        <v>39</v>
      </c>
      <c r="B40" t="s">
        <v>43</v>
      </c>
      <c r="C40" t="s">
        <v>59</v>
      </c>
      <c r="D40" t="s">
        <v>60</v>
      </c>
    </row>
    <row r="41" spans="1:5" x14ac:dyDescent="0.3">
      <c r="A41">
        <v>40</v>
      </c>
      <c r="B41" t="s">
        <v>43</v>
      </c>
      <c r="C41" t="s">
        <v>200</v>
      </c>
      <c r="D41" t="s">
        <v>60</v>
      </c>
    </row>
    <row r="42" spans="1:5" x14ac:dyDescent="0.3">
      <c r="A42">
        <v>41</v>
      </c>
      <c r="B42" t="s">
        <v>61</v>
      </c>
      <c r="C42" t="s">
        <v>62</v>
      </c>
      <c r="D42" t="s">
        <v>63</v>
      </c>
    </row>
    <row r="43" spans="1:5" x14ac:dyDescent="0.3">
      <c r="A43">
        <v>42</v>
      </c>
      <c r="B43" t="s">
        <v>61</v>
      </c>
      <c r="C43" t="s">
        <v>64</v>
      </c>
      <c r="D43" t="s">
        <v>63</v>
      </c>
    </row>
    <row r="44" spans="1:5" x14ac:dyDescent="0.3">
      <c r="A44">
        <v>43</v>
      </c>
      <c r="B44" t="s">
        <v>61</v>
      </c>
      <c r="C44" t="s">
        <v>65</v>
      </c>
      <c r="D44" t="s">
        <v>63</v>
      </c>
      <c r="E44" t="s">
        <v>53</v>
      </c>
    </row>
    <row r="45" spans="1:5" x14ac:dyDescent="0.3">
      <c r="A45">
        <v>44</v>
      </c>
      <c r="B45" t="s">
        <v>61</v>
      </c>
      <c r="C45" t="s">
        <v>66</v>
      </c>
      <c r="D45" t="s">
        <v>63</v>
      </c>
    </row>
    <row r="46" spans="1:5" x14ac:dyDescent="0.3">
      <c r="A46">
        <v>45</v>
      </c>
      <c r="B46" t="s">
        <v>61</v>
      </c>
      <c r="C46" t="s">
        <v>67</v>
      </c>
      <c r="D46" t="s">
        <v>68</v>
      </c>
    </row>
    <row r="47" spans="1:5" x14ac:dyDescent="0.3">
      <c r="A47">
        <v>46</v>
      </c>
      <c r="B47" t="s">
        <v>61</v>
      </c>
      <c r="C47" t="s">
        <v>69</v>
      </c>
      <c r="D47" t="s">
        <v>63</v>
      </c>
    </row>
    <row r="48" spans="1:5" x14ac:dyDescent="0.3">
      <c r="A48">
        <v>47</v>
      </c>
      <c r="B48" t="s">
        <v>61</v>
      </c>
      <c r="C48" t="s">
        <v>70</v>
      </c>
      <c r="D48" t="s">
        <v>63</v>
      </c>
    </row>
    <row r="49" spans="1:5" x14ac:dyDescent="0.3">
      <c r="A49">
        <v>48</v>
      </c>
      <c r="B49" t="s">
        <v>61</v>
      </c>
      <c r="C49" t="s">
        <v>71</v>
      </c>
      <c r="D49" t="s">
        <v>72</v>
      </c>
    </row>
    <row r="50" spans="1:5" x14ac:dyDescent="0.3">
      <c r="A50">
        <v>49</v>
      </c>
      <c r="B50" t="s">
        <v>61</v>
      </c>
      <c r="C50" t="s">
        <v>73</v>
      </c>
      <c r="D50" t="s">
        <v>63</v>
      </c>
    </row>
    <row r="51" spans="1:5" x14ac:dyDescent="0.3">
      <c r="A51">
        <v>50</v>
      </c>
      <c r="B51" t="s">
        <v>61</v>
      </c>
      <c r="C51" t="s">
        <v>74</v>
      </c>
      <c r="D51" t="s">
        <v>75</v>
      </c>
      <c r="E51" t="s">
        <v>76</v>
      </c>
    </row>
    <row r="52" spans="1:5" x14ac:dyDescent="0.3">
      <c r="A52">
        <v>51</v>
      </c>
      <c r="B52" t="s">
        <v>61</v>
      </c>
      <c r="C52" t="s">
        <v>77</v>
      </c>
      <c r="D52" t="s">
        <v>78</v>
      </c>
    </row>
    <row r="53" spans="1:5" x14ac:dyDescent="0.3">
      <c r="A53">
        <v>52</v>
      </c>
      <c r="B53" t="s">
        <v>61</v>
      </c>
      <c r="C53" t="s">
        <v>190</v>
      </c>
      <c r="D53" t="s">
        <v>191</v>
      </c>
    </row>
    <row r="54" spans="1:5" x14ac:dyDescent="0.3">
      <c r="A54">
        <v>53</v>
      </c>
      <c r="B54" t="s">
        <v>61</v>
      </c>
      <c r="C54" t="s">
        <v>192</v>
      </c>
      <c r="D54" t="s">
        <v>193</v>
      </c>
    </row>
    <row r="55" spans="1:5" x14ac:dyDescent="0.3">
      <c r="A55">
        <v>54</v>
      </c>
      <c r="B55" t="s">
        <v>79</v>
      </c>
      <c r="C55" t="s">
        <v>194</v>
      </c>
      <c r="D55" t="s">
        <v>81</v>
      </c>
    </row>
    <row r="56" spans="1:5" x14ac:dyDescent="0.3">
      <c r="A56">
        <v>55</v>
      </c>
      <c r="B56" t="s">
        <v>79</v>
      </c>
      <c r="C56" t="s">
        <v>80</v>
      </c>
      <c r="D56" t="s">
        <v>81</v>
      </c>
      <c r="E56" t="s">
        <v>82</v>
      </c>
    </row>
    <row r="57" spans="1:5" x14ac:dyDescent="0.3">
      <c r="A57">
        <v>56</v>
      </c>
      <c r="B57" t="s">
        <v>79</v>
      </c>
      <c r="C57" t="s">
        <v>83</v>
      </c>
      <c r="D57" t="s">
        <v>17</v>
      </c>
      <c r="E57" t="s">
        <v>84</v>
      </c>
    </row>
    <row r="58" spans="1:5" x14ac:dyDescent="0.3">
      <c r="A58">
        <v>57</v>
      </c>
      <c r="B58" t="s">
        <v>79</v>
      </c>
      <c r="C58" t="s">
        <v>85</v>
      </c>
      <c r="D58" t="s">
        <v>86</v>
      </c>
    </row>
    <row r="59" spans="1:5" x14ac:dyDescent="0.3">
      <c r="A59">
        <v>58</v>
      </c>
      <c r="B59" t="s">
        <v>79</v>
      </c>
      <c r="C59" t="s">
        <v>87</v>
      </c>
      <c r="D59" t="s">
        <v>88</v>
      </c>
    </row>
    <row r="60" spans="1:5" x14ac:dyDescent="0.3">
      <c r="A60">
        <v>59</v>
      </c>
      <c r="B60" t="s">
        <v>79</v>
      </c>
      <c r="C60" t="s">
        <v>89</v>
      </c>
      <c r="D60" t="s">
        <v>15</v>
      </c>
    </row>
    <row r="61" spans="1:5" x14ac:dyDescent="0.3">
      <c r="A61">
        <v>60</v>
      </c>
      <c r="B61" t="s">
        <v>79</v>
      </c>
      <c r="C61" t="s">
        <v>90</v>
      </c>
      <c r="D61" t="s">
        <v>81</v>
      </c>
    </row>
    <row r="62" spans="1:5" x14ac:dyDescent="0.3">
      <c r="A62">
        <v>61</v>
      </c>
      <c r="B62" t="s">
        <v>79</v>
      </c>
      <c r="C62" t="s">
        <v>91</v>
      </c>
      <c r="D62" t="s">
        <v>92</v>
      </c>
    </row>
    <row r="63" spans="1:5" x14ac:dyDescent="0.3">
      <c r="A63">
        <v>62</v>
      </c>
      <c r="B63" t="s">
        <v>79</v>
      </c>
      <c r="C63" t="s">
        <v>93</v>
      </c>
      <c r="D63" t="s">
        <v>81</v>
      </c>
    </row>
    <row r="64" spans="1:5" x14ac:dyDescent="0.3">
      <c r="A64">
        <v>63</v>
      </c>
      <c r="B64" t="s">
        <v>94</v>
      </c>
      <c r="C64" t="s">
        <v>95</v>
      </c>
      <c r="D64" t="s">
        <v>19</v>
      </c>
      <c r="E64" t="s">
        <v>96</v>
      </c>
    </row>
    <row r="65" spans="1:5" x14ac:dyDescent="0.3">
      <c r="A65">
        <v>64</v>
      </c>
      <c r="B65" t="s">
        <v>94</v>
      </c>
      <c r="C65" t="s">
        <v>97</v>
      </c>
      <c r="D65" t="s">
        <v>17</v>
      </c>
    </row>
    <row r="66" spans="1:5" x14ac:dyDescent="0.3">
      <c r="A66">
        <v>65</v>
      </c>
      <c r="B66" t="s">
        <v>94</v>
      </c>
      <c r="C66" t="s">
        <v>98</v>
      </c>
      <c r="D66" t="s">
        <v>17</v>
      </c>
    </row>
    <row r="67" spans="1:5" x14ac:dyDescent="0.3">
      <c r="A67">
        <v>66</v>
      </c>
      <c r="B67" t="s">
        <v>94</v>
      </c>
      <c r="C67" t="s">
        <v>195</v>
      </c>
      <c r="D67" t="s">
        <v>196</v>
      </c>
    </row>
    <row r="68" spans="1:5" x14ac:dyDescent="0.3">
      <c r="A68">
        <v>67</v>
      </c>
      <c r="B68" t="s">
        <v>94</v>
      </c>
      <c r="C68" t="s">
        <v>99</v>
      </c>
      <c r="D68" t="s">
        <v>17</v>
      </c>
    </row>
    <row r="69" spans="1:5" x14ac:dyDescent="0.3">
      <c r="A69">
        <v>68</v>
      </c>
      <c r="B69" t="s">
        <v>94</v>
      </c>
      <c r="C69" t="s">
        <v>203</v>
      </c>
      <c r="D69" t="s">
        <v>88</v>
      </c>
      <c r="E69" t="s">
        <v>13</v>
      </c>
    </row>
    <row r="70" spans="1:5" x14ac:dyDescent="0.3">
      <c r="A70">
        <v>69</v>
      </c>
      <c r="B70" t="s">
        <v>94</v>
      </c>
      <c r="C70" t="s">
        <v>212</v>
      </c>
      <c r="D70" t="s">
        <v>138</v>
      </c>
      <c r="E70" t="s">
        <v>213</v>
      </c>
    </row>
    <row r="71" spans="1:5" x14ac:dyDescent="0.3">
      <c r="A71">
        <v>70</v>
      </c>
      <c r="B71" t="s">
        <v>100</v>
      </c>
      <c r="C71" t="s">
        <v>101</v>
      </c>
      <c r="D71" t="s">
        <v>102</v>
      </c>
    </row>
    <row r="72" spans="1:5" x14ac:dyDescent="0.3">
      <c r="A72">
        <v>71</v>
      </c>
      <c r="B72" t="s">
        <v>100</v>
      </c>
      <c r="C72" t="s">
        <v>103</v>
      </c>
      <c r="D72" t="s">
        <v>102</v>
      </c>
    </row>
    <row r="73" spans="1:5" x14ac:dyDescent="0.3">
      <c r="A73">
        <v>72</v>
      </c>
      <c r="B73" t="s">
        <v>100</v>
      </c>
      <c r="C73" t="s">
        <v>104</v>
      </c>
      <c r="D73" t="s">
        <v>19</v>
      </c>
    </row>
    <row r="74" spans="1:5" x14ac:dyDescent="0.3">
      <c r="A74">
        <v>73</v>
      </c>
      <c r="B74" t="s">
        <v>100</v>
      </c>
      <c r="C74" t="s">
        <v>105</v>
      </c>
      <c r="D74" t="s">
        <v>106</v>
      </c>
    </row>
    <row r="75" spans="1:5" x14ac:dyDescent="0.3">
      <c r="A75">
        <v>74</v>
      </c>
      <c r="B75" t="s">
        <v>100</v>
      </c>
      <c r="C75" t="s">
        <v>107</v>
      </c>
      <c r="D75" t="s">
        <v>106</v>
      </c>
    </row>
    <row r="76" spans="1:5" x14ac:dyDescent="0.3">
      <c r="A76">
        <v>75</v>
      </c>
      <c r="B76" t="s">
        <v>100</v>
      </c>
      <c r="C76" t="s">
        <v>108</v>
      </c>
      <c r="D76" t="s">
        <v>42</v>
      </c>
    </row>
    <row r="77" spans="1:5" x14ac:dyDescent="0.3">
      <c r="A77">
        <v>76</v>
      </c>
      <c r="B77" t="s">
        <v>100</v>
      </c>
      <c r="C77" t="s">
        <v>109</v>
      </c>
      <c r="D77" t="s">
        <v>110</v>
      </c>
    </row>
    <row r="78" spans="1:5" x14ac:dyDescent="0.3">
      <c r="A78">
        <v>77</v>
      </c>
      <c r="B78" t="s">
        <v>100</v>
      </c>
      <c r="C78" t="s">
        <v>111</v>
      </c>
      <c r="D78" t="s">
        <v>19</v>
      </c>
    </row>
    <row r="79" spans="1:5" x14ac:dyDescent="0.3">
      <c r="A79">
        <v>78</v>
      </c>
      <c r="B79" t="s">
        <v>100</v>
      </c>
      <c r="C79" t="s">
        <v>112</v>
      </c>
      <c r="D79" t="s">
        <v>88</v>
      </c>
      <c r="E79" t="s">
        <v>113</v>
      </c>
    </row>
    <row r="80" spans="1:5" x14ac:dyDescent="0.3">
      <c r="A80">
        <v>79</v>
      </c>
      <c r="B80" t="s">
        <v>100</v>
      </c>
      <c r="C80" t="s">
        <v>114</v>
      </c>
      <c r="D80" t="s">
        <v>115</v>
      </c>
    </row>
    <row r="81" spans="1:5" x14ac:dyDescent="0.3">
      <c r="A81">
        <v>80</v>
      </c>
      <c r="B81" t="s">
        <v>100</v>
      </c>
      <c r="C81" t="s">
        <v>183</v>
      </c>
      <c r="D81" t="s">
        <v>182</v>
      </c>
    </row>
    <row r="82" spans="1:5" x14ac:dyDescent="0.3">
      <c r="A82">
        <v>81</v>
      </c>
      <c r="B82" t="s">
        <v>100</v>
      </c>
      <c r="C82" t="s">
        <v>184</v>
      </c>
      <c r="D82" t="s">
        <v>182</v>
      </c>
    </row>
    <row r="83" spans="1:5" x14ac:dyDescent="0.3">
      <c r="A83">
        <v>82</v>
      </c>
      <c r="B83" t="s">
        <v>100</v>
      </c>
      <c r="C83" t="s">
        <v>185</v>
      </c>
      <c r="D83" t="s">
        <v>115</v>
      </c>
    </row>
    <row r="84" spans="1:5" x14ac:dyDescent="0.3">
      <c r="A84">
        <v>83</v>
      </c>
      <c r="B84" t="s">
        <v>100</v>
      </c>
      <c r="C84" t="s">
        <v>186</v>
      </c>
      <c r="D84" t="s">
        <v>187</v>
      </c>
    </row>
    <row r="85" spans="1:5" x14ac:dyDescent="0.3">
      <c r="A85">
        <v>84</v>
      </c>
      <c r="B85" t="s">
        <v>100</v>
      </c>
      <c r="C85" t="s">
        <v>201</v>
      </c>
      <c r="D85" t="s">
        <v>88</v>
      </c>
      <c r="E85" t="s">
        <v>202</v>
      </c>
    </row>
    <row r="86" spans="1:5" x14ac:dyDescent="0.3">
      <c r="A86">
        <v>85</v>
      </c>
      <c r="B86" t="s">
        <v>116</v>
      </c>
      <c r="C86" t="s">
        <v>117</v>
      </c>
      <c r="D86" t="s">
        <v>15</v>
      </c>
    </row>
    <row r="87" spans="1:5" x14ac:dyDescent="0.3">
      <c r="A87">
        <v>86</v>
      </c>
      <c r="B87" t="s">
        <v>116</v>
      </c>
      <c r="C87" t="s">
        <v>118</v>
      </c>
      <c r="D87" t="s">
        <v>15</v>
      </c>
    </row>
    <row r="88" spans="1:5" x14ac:dyDescent="0.3">
      <c r="A88">
        <v>87</v>
      </c>
      <c r="B88" t="s">
        <v>116</v>
      </c>
      <c r="C88" t="s">
        <v>119</v>
      </c>
      <c r="D88" t="s">
        <v>15</v>
      </c>
    </row>
    <row r="89" spans="1:5" x14ac:dyDescent="0.3">
      <c r="A89">
        <v>88</v>
      </c>
      <c r="B89" t="s">
        <v>116</v>
      </c>
      <c r="C89" t="s">
        <v>120</v>
      </c>
      <c r="D89" t="s">
        <v>15</v>
      </c>
    </row>
    <row r="90" spans="1:5" x14ac:dyDescent="0.3">
      <c r="A90">
        <v>89</v>
      </c>
      <c r="B90" t="s">
        <v>116</v>
      </c>
      <c r="C90" t="s">
        <v>121</v>
      </c>
      <c r="D90" t="s">
        <v>122</v>
      </c>
    </row>
    <row r="91" spans="1:5" x14ac:dyDescent="0.3">
      <c r="A91">
        <v>90</v>
      </c>
      <c r="B91" t="s">
        <v>116</v>
      </c>
      <c r="C91" t="s">
        <v>123</v>
      </c>
      <c r="D91" t="s">
        <v>15</v>
      </c>
    </row>
    <row r="92" spans="1:5" x14ac:dyDescent="0.3">
      <c r="A92">
        <v>91</v>
      </c>
      <c r="B92" t="s">
        <v>124</v>
      </c>
      <c r="C92" t="s">
        <v>125</v>
      </c>
      <c r="D92" t="s">
        <v>126</v>
      </c>
    </row>
    <row r="93" spans="1:5" x14ac:dyDescent="0.3">
      <c r="A93">
        <v>92</v>
      </c>
      <c r="B93" t="s">
        <v>124</v>
      </c>
      <c r="C93" t="s">
        <v>127</v>
      </c>
      <c r="D93" t="s">
        <v>128</v>
      </c>
    </row>
    <row r="94" spans="1:5" x14ac:dyDescent="0.3">
      <c r="A94">
        <v>93</v>
      </c>
      <c r="B94" t="s">
        <v>124</v>
      </c>
      <c r="C94" t="s">
        <v>210</v>
      </c>
      <c r="D94" t="s">
        <v>211</v>
      </c>
    </row>
    <row r="95" spans="1:5" x14ac:dyDescent="0.3">
      <c r="A95">
        <v>94</v>
      </c>
      <c r="B95" t="s">
        <v>129</v>
      </c>
      <c r="C95" t="s">
        <v>130</v>
      </c>
      <c r="D95" t="s">
        <v>88</v>
      </c>
    </row>
    <row r="96" spans="1:5" x14ac:dyDescent="0.3">
      <c r="A96">
        <v>95</v>
      </c>
      <c r="B96" t="s">
        <v>129</v>
      </c>
      <c r="C96" t="s">
        <v>131</v>
      </c>
      <c r="D96" t="s">
        <v>88</v>
      </c>
    </row>
    <row r="97" spans="1:5" x14ac:dyDescent="0.3">
      <c r="A97">
        <v>96</v>
      </c>
      <c r="B97" t="s">
        <v>129</v>
      </c>
      <c r="C97" t="s">
        <v>132</v>
      </c>
      <c r="D97" t="s">
        <v>110</v>
      </c>
    </row>
    <row r="98" spans="1:5" x14ac:dyDescent="0.3">
      <c r="A98">
        <v>97</v>
      </c>
      <c r="B98" t="s">
        <v>129</v>
      </c>
      <c r="C98" t="s">
        <v>133</v>
      </c>
      <c r="D98" t="s">
        <v>42</v>
      </c>
      <c r="E98" t="s">
        <v>139</v>
      </c>
    </row>
    <row r="99" spans="1:5" x14ac:dyDescent="0.3">
      <c r="A99">
        <v>98</v>
      </c>
      <c r="B99" t="s">
        <v>134</v>
      </c>
      <c r="C99" t="s">
        <v>135</v>
      </c>
      <c r="D99" t="s">
        <v>136</v>
      </c>
    </row>
    <row r="100" spans="1:5" x14ac:dyDescent="0.3">
      <c r="A100">
        <v>99</v>
      </c>
      <c r="B100" t="s">
        <v>134</v>
      </c>
      <c r="C100" t="s">
        <v>137</v>
      </c>
      <c r="D100" t="s">
        <v>138</v>
      </c>
    </row>
    <row r="101" spans="1:5" x14ac:dyDescent="0.3">
      <c r="A101">
        <v>100</v>
      </c>
      <c r="B101" t="s">
        <v>134</v>
      </c>
      <c r="C101" t="s">
        <v>140</v>
      </c>
      <c r="D101" t="s">
        <v>141</v>
      </c>
      <c r="E101" t="s">
        <v>139</v>
      </c>
    </row>
    <row r="102" spans="1:5" x14ac:dyDescent="0.3">
      <c r="A102">
        <v>101</v>
      </c>
      <c r="B102" t="s">
        <v>134</v>
      </c>
      <c r="C102" t="s">
        <v>142</v>
      </c>
      <c r="D102" t="s">
        <v>143</v>
      </c>
    </row>
    <row r="103" spans="1:5" x14ac:dyDescent="0.3">
      <c r="A103">
        <v>102</v>
      </c>
      <c r="B103" t="s">
        <v>134</v>
      </c>
      <c r="C103" t="s">
        <v>144</v>
      </c>
      <c r="D103" t="s">
        <v>145</v>
      </c>
    </row>
    <row r="104" spans="1:5" x14ac:dyDescent="0.3">
      <c r="A104">
        <v>103</v>
      </c>
      <c r="B104" t="s">
        <v>134</v>
      </c>
      <c r="C104" t="s">
        <v>146</v>
      </c>
      <c r="D104" t="s">
        <v>147</v>
      </c>
    </row>
    <row r="105" spans="1:5" x14ac:dyDescent="0.3">
      <c r="A105">
        <v>104</v>
      </c>
      <c r="B105" t="s">
        <v>134</v>
      </c>
      <c r="C105" t="s">
        <v>148</v>
      </c>
      <c r="D105" t="s">
        <v>147</v>
      </c>
    </row>
    <row r="106" spans="1:5" x14ac:dyDescent="0.3">
      <c r="A106">
        <v>105</v>
      </c>
      <c r="B106" t="s">
        <v>134</v>
      </c>
      <c r="C106" t="s">
        <v>149</v>
      </c>
      <c r="D106" t="s">
        <v>150</v>
      </c>
    </row>
    <row r="107" spans="1:5" x14ac:dyDescent="0.3">
      <c r="A107">
        <v>106</v>
      </c>
      <c r="B107" t="s">
        <v>134</v>
      </c>
      <c r="C107" t="s">
        <v>151</v>
      </c>
      <c r="D107" t="s">
        <v>110</v>
      </c>
    </row>
    <row r="108" spans="1:5" x14ac:dyDescent="0.3">
      <c r="A108">
        <v>107</v>
      </c>
      <c r="B108" t="s">
        <v>134</v>
      </c>
      <c r="C108" t="s">
        <v>216</v>
      </c>
      <c r="D108" t="s">
        <v>152</v>
      </c>
    </row>
    <row r="109" spans="1:5" x14ac:dyDescent="0.3">
      <c r="A109">
        <v>108</v>
      </c>
      <c r="B109" t="s">
        <v>134</v>
      </c>
      <c r="C109" t="s">
        <v>153</v>
      </c>
      <c r="D109" t="s">
        <v>88</v>
      </c>
    </row>
    <row r="110" spans="1:5" x14ac:dyDescent="0.3">
      <c r="A110">
        <v>109</v>
      </c>
      <c r="B110" t="s">
        <v>134</v>
      </c>
      <c r="C110" t="s">
        <v>154</v>
      </c>
      <c r="D110" t="s">
        <v>110</v>
      </c>
    </row>
    <row r="111" spans="1:5" x14ac:dyDescent="0.3">
      <c r="A111">
        <v>110</v>
      </c>
      <c r="B111" t="s">
        <v>134</v>
      </c>
      <c r="C111" t="s">
        <v>155</v>
      </c>
      <c r="D111" t="s">
        <v>88</v>
      </c>
    </row>
    <row r="112" spans="1:5" x14ac:dyDescent="0.3">
      <c r="A112">
        <v>111</v>
      </c>
      <c r="B112" t="s">
        <v>134</v>
      </c>
      <c r="C112" t="s">
        <v>156</v>
      </c>
      <c r="D112" t="s">
        <v>157</v>
      </c>
    </row>
    <row r="113" spans="1:5" x14ac:dyDescent="0.3">
      <c r="A113">
        <v>112</v>
      </c>
      <c r="B113" t="s">
        <v>134</v>
      </c>
      <c r="C113" t="s">
        <v>158</v>
      </c>
      <c r="D113" t="s">
        <v>159</v>
      </c>
    </row>
    <row r="114" spans="1:5" x14ac:dyDescent="0.3">
      <c r="A114">
        <v>113</v>
      </c>
      <c r="B114" t="s">
        <v>134</v>
      </c>
      <c r="C114" t="s">
        <v>160</v>
      </c>
      <c r="D114" t="s">
        <v>161</v>
      </c>
    </row>
    <row r="115" spans="1:5" x14ac:dyDescent="0.3">
      <c r="A115">
        <v>114</v>
      </c>
      <c r="B115" t="s">
        <v>134</v>
      </c>
      <c r="C115" t="s">
        <v>162</v>
      </c>
      <c r="D115" t="s">
        <v>163</v>
      </c>
    </row>
    <row r="116" spans="1:5" x14ac:dyDescent="0.3">
      <c r="A116">
        <v>115</v>
      </c>
      <c r="B116" t="s">
        <v>134</v>
      </c>
      <c r="C116" t="s">
        <v>164</v>
      </c>
      <c r="D116" t="s">
        <v>88</v>
      </c>
    </row>
    <row r="117" spans="1:5" x14ac:dyDescent="0.3">
      <c r="A117">
        <v>116</v>
      </c>
      <c r="B117" t="s">
        <v>134</v>
      </c>
      <c r="C117" t="s">
        <v>165</v>
      </c>
      <c r="D117" t="s">
        <v>60</v>
      </c>
    </row>
    <row r="118" spans="1:5" x14ac:dyDescent="0.3">
      <c r="A118">
        <v>117</v>
      </c>
      <c r="B118" t="s">
        <v>134</v>
      </c>
      <c r="C118" t="s">
        <v>166</v>
      </c>
      <c r="D118" t="s">
        <v>60</v>
      </c>
    </row>
    <row r="119" spans="1:5" x14ac:dyDescent="0.3">
      <c r="A119">
        <v>118</v>
      </c>
      <c r="B119" t="s">
        <v>134</v>
      </c>
      <c r="C119" t="s">
        <v>167</v>
      </c>
      <c r="D119" t="s">
        <v>60</v>
      </c>
    </row>
    <row r="120" spans="1:5" x14ac:dyDescent="0.3">
      <c r="A120">
        <v>119</v>
      </c>
      <c r="B120" t="s">
        <v>134</v>
      </c>
      <c r="C120" t="s">
        <v>168</v>
      </c>
      <c r="D120" t="s">
        <v>169</v>
      </c>
      <c r="E120" t="s">
        <v>173</v>
      </c>
    </row>
    <row r="121" spans="1:5" x14ac:dyDescent="0.3">
      <c r="A121">
        <v>120</v>
      </c>
      <c r="B121" t="s">
        <v>134</v>
      </c>
      <c r="C121" t="s">
        <v>170</v>
      </c>
      <c r="D121" t="s">
        <v>169</v>
      </c>
    </row>
    <row r="122" spans="1:5" x14ac:dyDescent="0.3">
      <c r="A122">
        <v>121</v>
      </c>
      <c r="B122" t="s">
        <v>134</v>
      </c>
      <c r="C122" t="s">
        <v>171</v>
      </c>
      <c r="D122" t="s">
        <v>172</v>
      </c>
    </row>
    <row r="123" spans="1:5" x14ac:dyDescent="0.3">
      <c r="A123">
        <v>122</v>
      </c>
      <c r="B123" t="s">
        <v>134</v>
      </c>
      <c r="C123" t="s">
        <v>174</v>
      </c>
      <c r="D123" t="s">
        <v>88</v>
      </c>
    </row>
    <row r="124" spans="1:5" x14ac:dyDescent="0.3">
      <c r="A124">
        <v>123</v>
      </c>
      <c r="B124" t="s">
        <v>134</v>
      </c>
      <c r="C124" t="s">
        <v>175</v>
      </c>
      <c r="D124" t="s">
        <v>176</v>
      </c>
    </row>
    <row r="125" spans="1:5" x14ac:dyDescent="0.3">
      <c r="A125">
        <v>124</v>
      </c>
      <c r="B125" t="s">
        <v>134</v>
      </c>
      <c r="C125" t="s">
        <v>214</v>
      </c>
      <c r="D125" t="s">
        <v>215</v>
      </c>
      <c r="E125" t="s">
        <v>213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5FB8-DCCD-4BFE-92C8-C137966870B9}">
  <sheetPr>
    <pageSetUpPr fitToPage="1"/>
  </sheetPr>
  <dimension ref="A1:AA117"/>
  <sheetViews>
    <sheetView tabSelected="1" workbookViewId="0">
      <selection activeCell="O9" sqref="O9"/>
    </sheetView>
  </sheetViews>
  <sheetFormatPr defaultRowHeight="14.4" x14ac:dyDescent="0.3"/>
  <cols>
    <col min="1" max="1" width="4" style="20" bestFit="1" customWidth="1"/>
    <col min="2" max="2" width="48.5546875" style="4" customWidth="1"/>
    <col min="3" max="3" width="107.33203125" style="4" customWidth="1"/>
    <col min="4" max="4" width="32.77734375" style="4" customWidth="1"/>
    <col min="5" max="5" width="15.6640625" customWidth="1"/>
    <col min="6" max="6" width="8.88671875" style="35"/>
    <col min="7" max="7" width="17.5546875" style="32" customWidth="1"/>
    <col min="8" max="8" width="20" style="33" customWidth="1"/>
    <col min="9" max="10" width="8.88671875" style="4"/>
    <col min="11" max="11" width="27.88671875" style="4" customWidth="1"/>
    <col min="12" max="12" width="6.21875" style="4" customWidth="1"/>
    <col min="13" max="13" width="18.44140625" style="4" customWidth="1"/>
    <col min="14" max="16384" width="8.88671875" style="4"/>
  </cols>
  <sheetData>
    <row r="1" spans="1:27" s="2" customFormat="1" ht="27.6" x14ac:dyDescent="0.3">
      <c r="A1" s="1" t="s">
        <v>0</v>
      </c>
      <c r="B1" s="2" t="s">
        <v>1</v>
      </c>
      <c r="C1" s="2" t="s">
        <v>2</v>
      </c>
      <c r="D1" s="2" t="s">
        <v>3</v>
      </c>
      <c r="E1" s="2" t="s">
        <v>335</v>
      </c>
      <c r="F1" s="34" t="s">
        <v>340</v>
      </c>
      <c r="G1" s="31" t="s">
        <v>334</v>
      </c>
      <c r="H1" s="36" t="s">
        <v>343</v>
      </c>
      <c r="J1" s="44"/>
      <c r="K1" s="38" t="s">
        <v>344</v>
      </c>
      <c r="L1" s="39">
        <f>IFERROR(L3/L2,0)</f>
        <v>1.8633540372670808E-2</v>
      </c>
      <c r="M1" s="41" t="s">
        <v>348</v>
      </c>
      <c r="N1" s="42">
        <f>IFERROR(N3/N2,0)</f>
        <v>1.3333333333333334E-2</v>
      </c>
      <c r="O1" s="44"/>
    </row>
    <row r="2" spans="1:27" s="3" customFormat="1" ht="27.6" x14ac:dyDescent="0.3">
      <c r="A2" s="25">
        <v>1</v>
      </c>
      <c r="B2" s="26" t="s">
        <v>4</v>
      </c>
      <c r="C2" s="26" t="s">
        <v>217</v>
      </c>
      <c r="D2" s="26" t="s">
        <v>6</v>
      </c>
      <c r="E2" s="4" t="s">
        <v>336</v>
      </c>
      <c r="F2" s="33">
        <f>IF(E2="Imprescindível",10,IF(E2="Necessário",5,IF(E2="Recomendado",2,IF(E2="Sugerido",1,0))))</f>
        <v>10</v>
      </c>
      <c r="G2" s="32" t="s">
        <v>341</v>
      </c>
      <c r="H2" s="33">
        <f>VALUE(IF(G2="SIM",F2,0))</f>
        <v>10</v>
      </c>
      <c r="I2" s="2"/>
      <c r="J2" s="19"/>
      <c r="K2" s="16" t="s">
        <v>345</v>
      </c>
      <c r="L2" s="16">
        <f>SUMIFS(F:F,G:G,"&lt;&gt;N/A",G:G,"&lt;&gt;N/O")</f>
        <v>805</v>
      </c>
      <c r="M2" s="26" t="s">
        <v>349</v>
      </c>
      <c r="N2" s="26">
        <f>SUMIFS(F:F,E:E,"Imprescindível",G:G,"&lt;&gt;N/A",G:G,"&lt;&gt;N/O")</f>
        <v>750</v>
      </c>
      <c r="O2" s="19"/>
      <c r="P2" s="4"/>
      <c r="Q2" s="4"/>
      <c r="R2" s="4"/>
      <c r="S2" s="4"/>
      <c r="T2" s="4"/>
      <c r="U2" s="4"/>
      <c r="V2" s="4"/>
      <c r="W2" s="4"/>
      <c r="X2" s="4"/>
      <c r="Y2" s="4"/>
      <c r="Z2" s="4"/>
      <c r="AA2" s="4"/>
    </row>
    <row r="3" spans="1:27" s="3" customFormat="1" ht="27.6" x14ac:dyDescent="0.3">
      <c r="A3" s="25">
        <v>2</v>
      </c>
      <c r="B3" s="26" t="s">
        <v>4</v>
      </c>
      <c r="C3" s="26" t="s">
        <v>9</v>
      </c>
      <c r="D3" s="26" t="s">
        <v>10</v>
      </c>
      <c r="E3" s="4" t="s">
        <v>336</v>
      </c>
      <c r="F3" s="33">
        <f t="shared" ref="F3:F66" si="0">IF(E3="Imprescindível",10,IF(E3="Necessário",5,IF(E3="Recomendado",2,IF(E3="Sugerido",1,0))))</f>
        <v>10</v>
      </c>
      <c r="G3" s="32" t="s">
        <v>342</v>
      </c>
      <c r="H3" s="33">
        <f t="shared" ref="H3:H66" si="1">VALUE(IF(G3="SIM",F3,0))</f>
        <v>0</v>
      </c>
      <c r="I3" s="2"/>
      <c r="J3" s="19"/>
      <c r="K3" s="16" t="s">
        <v>346</v>
      </c>
      <c r="L3" s="40">
        <f>SUM(H2:H115)</f>
        <v>15</v>
      </c>
      <c r="M3" s="26" t="s">
        <v>350</v>
      </c>
      <c r="N3" s="26">
        <f>SUMIFS(H:H,E:E,"Imprescindível")</f>
        <v>10</v>
      </c>
      <c r="O3" s="19"/>
      <c r="P3" s="4"/>
      <c r="Q3" s="4"/>
      <c r="R3" s="4"/>
      <c r="S3" s="4"/>
      <c r="T3" s="4"/>
      <c r="U3" s="4"/>
      <c r="V3" s="4"/>
      <c r="W3" s="4"/>
      <c r="X3" s="4"/>
      <c r="Y3" s="4"/>
      <c r="Z3" s="4"/>
      <c r="AA3" s="4"/>
    </row>
    <row r="4" spans="1:27" s="3" customFormat="1" ht="27.6" x14ac:dyDescent="0.3">
      <c r="A4" s="25">
        <v>3</v>
      </c>
      <c r="B4" s="26" t="s">
        <v>4</v>
      </c>
      <c r="C4" s="26" t="s">
        <v>11</v>
      </c>
      <c r="D4" s="26" t="s">
        <v>287</v>
      </c>
      <c r="E4" s="4" t="s">
        <v>336</v>
      </c>
      <c r="F4" s="33">
        <f t="shared" si="0"/>
        <v>10</v>
      </c>
      <c r="G4" s="32" t="s">
        <v>347</v>
      </c>
      <c r="H4" s="33">
        <f t="shared" si="1"/>
        <v>0</v>
      </c>
      <c r="I4" s="2"/>
      <c r="J4" s="19"/>
      <c r="K4" s="19"/>
      <c r="L4" s="19"/>
      <c r="M4" s="19"/>
      <c r="N4" s="19"/>
      <c r="O4" s="19"/>
      <c r="P4" s="4"/>
      <c r="Q4" s="4"/>
      <c r="R4" s="4"/>
      <c r="S4" s="4"/>
      <c r="T4" s="4"/>
      <c r="U4" s="4"/>
      <c r="V4" s="4"/>
      <c r="W4" s="4"/>
      <c r="X4" s="4"/>
      <c r="Y4" s="4"/>
      <c r="Z4" s="4"/>
      <c r="AA4" s="4"/>
    </row>
    <row r="5" spans="1:27" s="3" customFormat="1" ht="27.6" x14ac:dyDescent="0.3">
      <c r="A5" s="25">
        <v>4</v>
      </c>
      <c r="B5" s="26" t="s">
        <v>4</v>
      </c>
      <c r="C5" s="26" t="s">
        <v>14</v>
      </c>
      <c r="D5" s="26" t="s">
        <v>15</v>
      </c>
      <c r="E5" s="4" t="s">
        <v>336</v>
      </c>
      <c r="F5" s="33">
        <f t="shared" si="0"/>
        <v>10</v>
      </c>
      <c r="G5" s="32" t="s">
        <v>342</v>
      </c>
      <c r="H5" s="33">
        <f t="shared" si="1"/>
        <v>0</v>
      </c>
      <c r="I5" s="2"/>
      <c r="J5" s="19"/>
      <c r="K5" s="19"/>
      <c r="L5" s="19"/>
      <c r="M5" s="37" t="s">
        <v>351</v>
      </c>
      <c r="N5" s="43">
        <f>IFERROR(N7/N6,0)</f>
        <v>9.0909090909090912E-2</v>
      </c>
      <c r="O5" s="19"/>
      <c r="P5" s="4"/>
      <c r="Q5" s="4"/>
      <c r="R5" s="4"/>
      <c r="S5" s="4"/>
      <c r="T5" s="4"/>
      <c r="U5" s="4"/>
      <c r="V5" s="4"/>
      <c r="W5" s="4"/>
      <c r="X5" s="4"/>
      <c r="Y5" s="4"/>
      <c r="Z5" s="4"/>
      <c r="AA5" s="4"/>
    </row>
    <row r="6" spans="1:27" s="3" customFormat="1" ht="27.6" x14ac:dyDescent="0.3">
      <c r="A6" s="25">
        <v>5</v>
      </c>
      <c r="B6" s="26" t="s">
        <v>4</v>
      </c>
      <c r="C6" s="26" t="s">
        <v>218</v>
      </c>
      <c r="D6" s="26" t="s">
        <v>17</v>
      </c>
      <c r="E6" s="4" t="s">
        <v>336</v>
      </c>
      <c r="F6" s="33">
        <f t="shared" si="0"/>
        <v>10</v>
      </c>
      <c r="G6" s="32" t="s">
        <v>342</v>
      </c>
      <c r="H6" s="33">
        <f t="shared" si="1"/>
        <v>0</v>
      </c>
      <c r="I6" s="2"/>
      <c r="J6" s="19"/>
      <c r="K6" s="19"/>
      <c r="L6" s="19"/>
      <c r="M6" s="15" t="s">
        <v>352</v>
      </c>
      <c r="N6" s="15">
        <f>SUMIFS(F:F,E:E,"Necessário",G:G,"&lt;&gt;N/A",G:G,"&lt;&gt;N/O")</f>
        <v>55</v>
      </c>
      <c r="O6" s="19"/>
      <c r="P6" s="4"/>
      <c r="Q6" s="4"/>
      <c r="R6" s="4"/>
      <c r="S6" s="4"/>
      <c r="T6" s="4"/>
      <c r="U6" s="4"/>
      <c r="V6" s="4"/>
      <c r="W6" s="4"/>
      <c r="X6" s="4"/>
      <c r="Y6" s="4"/>
      <c r="Z6" s="4"/>
      <c r="AA6" s="4"/>
    </row>
    <row r="7" spans="1:27" s="3" customFormat="1" ht="27.6" x14ac:dyDescent="0.3">
      <c r="A7" s="25">
        <v>6</v>
      </c>
      <c r="B7" s="26" t="s">
        <v>4</v>
      </c>
      <c r="C7" s="26" t="s">
        <v>219</v>
      </c>
      <c r="D7" s="26" t="s">
        <v>288</v>
      </c>
      <c r="E7" s="4" t="s">
        <v>336</v>
      </c>
      <c r="F7" s="33">
        <f t="shared" si="0"/>
        <v>10</v>
      </c>
      <c r="G7" s="32"/>
      <c r="H7" s="33">
        <f t="shared" si="1"/>
        <v>0</v>
      </c>
      <c r="I7" s="2"/>
      <c r="J7" s="19"/>
      <c r="K7" s="19"/>
      <c r="L7" s="19"/>
      <c r="M7" s="15" t="s">
        <v>353</v>
      </c>
      <c r="N7" s="15">
        <f>SUMIFS(H:H,E:E,"Necessário")</f>
        <v>5</v>
      </c>
      <c r="O7" s="19"/>
      <c r="P7" s="4"/>
      <c r="Q7" s="4"/>
      <c r="R7" s="4"/>
      <c r="S7" s="4"/>
      <c r="T7" s="4"/>
      <c r="U7" s="4"/>
      <c r="V7" s="4"/>
      <c r="W7" s="4"/>
      <c r="X7" s="4"/>
      <c r="Y7" s="4"/>
      <c r="Z7" s="4"/>
      <c r="AA7" s="4"/>
    </row>
    <row r="8" spans="1:27" s="3" customFormat="1" ht="27.6" x14ac:dyDescent="0.3">
      <c r="A8" s="25">
        <v>7</v>
      </c>
      <c r="B8" s="26" t="s">
        <v>4</v>
      </c>
      <c r="C8" s="26" t="s">
        <v>220</v>
      </c>
      <c r="D8" s="26" t="s">
        <v>19</v>
      </c>
      <c r="E8" s="4" t="s">
        <v>336</v>
      </c>
      <c r="F8" s="33">
        <f t="shared" si="0"/>
        <v>10</v>
      </c>
      <c r="G8" s="32"/>
      <c r="H8" s="33">
        <f t="shared" si="1"/>
        <v>0</v>
      </c>
      <c r="I8" s="2"/>
      <c r="J8" s="19"/>
      <c r="K8" s="19"/>
      <c r="L8" s="19"/>
      <c r="M8" s="19"/>
      <c r="N8" s="19"/>
      <c r="O8" s="19"/>
      <c r="P8" s="4"/>
      <c r="Q8" s="4"/>
      <c r="R8" s="4"/>
      <c r="S8" s="4"/>
      <c r="T8" s="4"/>
      <c r="U8" s="4"/>
      <c r="V8" s="4"/>
      <c r="W8" s="4"/>
      <c r="X8" s="4"/>
      <c r="Y8" s="4"/>
      <c r="Z8" s="4"/>
      <c r="AA8" s="4"/>
    </row>
    <row r="9" spans="1:27" s="3" customFormat="1" ht="27.6" x14ac:dyDescent="0.3">
      <c r="A9" s="25">
        <v>8</v>
      </c>
      <c r="B9" s="26" t="s">
        <v>4</v>
      </c>
      <c r="C9" s="26" t="s">
        <v>221</v>
      </c>
      <c r="D9" s="26" t="s">
        <v>289</v>
      </c>
      <c r="E9" s="4" t="s">
        <v>336</v>
      </c>
      <c r="F9" s="33">
        <f t="shared" si="0"/>
        <v>10</v>
      </c>
      <c r="G9" s="32"/>
      <c r="H9" s="33">
        <f t="shared" si="1"/>
        <v>0</v>
      </c>
      <c r="I9" s="2"/>
      <c r="J9" s="19"/>
      <c r="K9" s="19"/>
      <c r="L9" s="19"/>
      <c r="M9" s="19"/>
      <c r="N9" s="19"/>
      <c r="O9" s="19"/>
      <c r="P9" s="4"/>
      <c r="Q9" s="4"/>
      <c r="R9" s="4"/>
      <c r="S9" s="4"/>
      <c r="T9" s="4"/>
      <c r="U9" s="4"/>
      <c r="V9" s="4"/>
      <c r="W9" s="4"/>
      <c r="X9" s="4"/>
      <c r="Y9" s="4"/>
      <c r="Z9" s="4"/>
      <c r="AA9" s="4"/>
    </row>
    <row r="10" spans="1:27" s="3" customFormat="1" ht="27.6" x14ac:dyDescent="0.3">
      <c r="A10" s="14">
        <v>9</v>
      </c>
      <c r="B10" s="15" t="s">
        <v>4</v>
      </c>
      <c r="C10" s="15" t="s">
        <v>222</v>
      </c>
      <c r="D10" s="15" t="s">
        <v>290</v>
      </c>
      <c r="E10" s="4" t="s">
        <v>337</v>
      </c>
      <c r="F10" s="33">
        <f t="shared" si="0"/>
        <v>5</v>
      </c>
      <c r="G10" s="32" t="s">
        <v>341</v>
      </c>
      <c r="H10" s="33">
        <f t="shared" si="1"/>
        <v>5</v>
      </c>
      <c r="I10" s="2"/>
      <c r="J10" s="4"/>
      <c r="K10" s="46" t="s">
        <v>341</v>
      </c>
      <c r="L10" s="46">
        <f>COUNTIF(G:G,"SIM")</f>
        <v>2</v>
      </c>
      <c r="M10" s="4"/>
      <c r="N10" s="4"/>
      <c r="O10" s="4"/>
      <c r="P10" s="4"/>
      <c r="Q10" s="4"/>
      <c r="R10" s="4"/>
      <c r="S10" s="4"/>
      <c r="T10" s="4"/>
      <c r="U10" s="4"/>
      <c r="V10" s="4"/>
      <c r="W10" s="4"/>
      <c r="X10" s="4"/>
      <c r="Y10" s="4"/>
      <c r="Z10" s="4"/>
      <c r="AA10" s="4"/>
    </row>
    <row r="11" spans="1:27" s="3" customFormat="1" ht="13.8" x14ac:dyDescent="0.3">
      <c r="A11" s="25">
        <v>10</v>
      </c>
      <c r="B11" s="26" t="s">
        <v>4</v>
      </c>
      <c r="C11" s="26" t="s">
        <v>223</v>
      </c>
      <c r="D11" s="26" t="s">
        <v>28</v>
      </c>
      <c r="E11" s="4" t="s">
        <v>336</v>
      </c>
      <c r="F11" s="33">
        <f t="shared" si="0"/>
        <v>10</v>
      </c>
      <c r="G11" s="32"/>
      <c r="H11" s="33">
        <f t="shared" si="1"/>
        <v>0</v>
      </c>
      <c r="I11" s="2"/>
      <c r="J11" s="4"/>
      <c r="K11" s="46" t="s">
        <v>342</v>
      </c>
      <c r="L11" s="46">
        <f>COUNTIF(G:G,"NÃO")</f>
        <v>3</v>
      </c>
      <c r="M11" s="4"/>
      <c r="N11" s="4"/>
      <c r="O11" s="4"/>
      <c r="P11" s="4"/>
      <c r="Q11" s="4"/>
      <c r="R11" s="4"/>
      <c r="S11" s="4"/>
      <c r="T11" s="4"/>
      <c r="U11" s="4"/>
      <c r="V11" s="4"/>
      <c r="W11" s="4"/>
      <c r="X11" s="4"/>
      <c r="Y11" s="4"/>
      <c r="Z11" s="4"/>
      <c r="AA11" s="4"/>
    </row>
    <row r="12" spans="1:27" s="3" customFormat="1" ht="13.8" x14ac:dyDescent="0.3">
      <c r="A12" s="25">
        <v>11</v>
      </c>
      <c r="B12" s="26" t="s">
        <v>4</v>
      </c>
      <c r="C12" s="26" t="s">
        <v>224</v>
      </c>
      <c r="D12" s="26" t="s">
        <v>30</v>
      </c>
      <c r="E12" s="4" t="s">
        <v>336</v>
      </c>
      <c r="F12" s="33">
        <f t="shared" si="0"/>
        <v>10</v>
      </c>
      <c r="G12" s="32"/>
      <c r="H12" s="33">
        <f t="shared" si="1"/>
        <v>0</v>
      </c>
      <c r="I12" s="2"/>
      <c r="J12" s="4"/>
      <c r="K12" s="46"/>
      <c r="L12" s="46"/>
      <c r="M12" s="4"/>
      <c r="N12" s="4"/>
      <c r="O12" s="4"/>
      <c r="P12" s="4"/>
      <c r="Q12" s="4"/>
      <c r="R12" s="4"/>
      <c r="S12" s="4"/>
      <c r="T12" s="4"/>
      <c r="U12" s="4"/>
      <c r="V12" s="4"/>
      <c r="W12" s="4"/>
      <c r="X12" s="4"/>
      <c r="Y12" s="4"/>
      <c r="Z12" s="4"/>
      <c r="AA12" s="4"/>
    </row>
    <row r="13" spans="1:27" s="3" customFormat="1" ht="13.8" x14ac:dyDescent="0.3">
      <c r="A13" s="14">
        <v>12</v>
      </c>
      <c r="B13" s="15" t="s">
        <v>4</v>
      </c>
      <c r="C13" s="15" t="s">
        <v>177</v>
      </c>
      <c r="D13" s="15" t="s">
        <v>176</v>
      </c>
      <c r="E13" s="4" t="s">
        <v>337</v>
      </c>
      <c r="F13" s="33">
        <f t="shared" si="0"/>
        <v>5</v>
      </c>
      <c r="G13" s="32"/>
      <c r="H13" s="33">
        <f t="shared" si="1"/>
        <v>0</v>
      </c>
      <c r="I13" s="2"/>
      <c r="J13" s="4"/>
      <c r="K13" s="4"/>
      <c r="L13" s="4"/>
      <c r="M13" s="4"/>
      <c r="N13" s="4"/>
      <c r="O13" s="4"/>
      <c r="P13" s="4"/>
      <c r="Q13" s="4"/>
      <c r="R13" s="4"/>
      <c r="S13" s="4"/>
      <c r="T13" s="4"/>
      <c r="U13" s="4"/>
      <c r="V13" s="4"/>
      <c r="W13" s="4"/>
      <c r="X13" s="4"/>
      <c r="Y13" s="4"/>
      <c r="Z13" s="4"/>
      <c r="AA13" s="4"/>
    </row>
    <row r="14" spans="1:27" s="3" customFormat="1" ht="13.8" x14ac:dyDescent="0.3">
      <c r="A14" s="14">
        <v>13</v>
      </c>
      <c r="B14" s="15" t="s">
        <v>4</v>
      </c>
      <c r="C14" s="15" t="s">
        <v>179</v>
      </c>
      <c r="D14" s="15" t="s">
        <v>291</v>
      </c>
      <c r="E14" s="4" t="s">
        <v>337</v>
      </c>
      <c r="F14" s="33">
        <f t="shared" si="0"/>
        <v>5</v>
      </c>
      <c r="G14" s="32"/>
      <c r="H14" s="33">
        <f t="shared" si="1"/>
        <v>0</v>
      </c>
      <c r="I14" s="2"/>
      <c r="J14" s="4"/>
      <c r="K14" s="4"/>
      <c r="L14" s="4"/>
      <c r="M14" s="4"/>
      <c r="N14" s="4"/>
      <c r="O14" s="4"/>
      <c r="P14" s="4"/>
      <c r="Q14" s="4"/>
      <c r="R14" s="4"/>
      <c r="S14" s="4"/>
      <c r="T14" s="4"/>
      <c r="U14" s="4"/>
      <c r="V14" s="4"/>
      <c r="W14" s="4"/>
      <c r="X14" s="4"/>
      <c r="Y14" s="4"/>
      <c r="Z14" s="4"/>
      <c r="AA14" s="4"/>
    </row>
    <row r="15" spans="1:27" s="3" customFormat="1" ht="27.6" x14ac:dyDescent="0.3">
      <c r="A15" s="25">
        <v>14</v>
      </c>
      <c r="B15" s="26" t="s">
        <v>4</v>
      </c>
      <c r="C15" s="26" t="s">
        <v>310</v>
      </c>
      <c r="D15" s="26" t="s">
        <v>19</v>
      </c>
      <c r="E15" s="4" t="s">
        <v>336</v>
      </c>
      <c r="F15" s="33">
        <f t="shared" si="0"/>
        <v>10</v>
      </c>
      <c r="G15" s="32"/>
      <c r="H15" s="33">
        <f t="shared" si="1"/>
        <v>0</v>
      </c>
      <c r="I15" s="2"/>
      <c r="J15" s="4"/>
      <c r="K15" s="4"/>
      <c r="L15" s="4"/>
      <c r="M15" s="4"/>
      <c r="N15" s="4"/>
      <c r="O15" s="4"/>
      <c r="P15" s="4"/>
      <c r="Q15" s="4"/>
      <c r="R15" s="4"/>
      <c r="S15" s="4"/>
      <c r="T15" s="4"/>
      <c r="U15" s="4"/>
      <c r="V15" s="4"/>
      <c r="W15" s="4"/>
      <c r="X15" s="4"/>
      <c r="Y15" s="4"/>
      <c r="Z15" s="4"/>
      <c r="AA15" s="4"/>
    </row>
    <row r="16" spans="1:27" s="3" customFormat="1" ht="27.6" x14ac:dyDescent="0.3">
      <c r="A16" s="14">
        <v>15</v>
      </c>
      <c r="B16" s="15" t="s">
        <v>4</v>
      </c>
      <c r="C16" s="15" t="s">
        <v>315</v>
      </c>
      <c r="D16" s="15" t="s">
        <v>176</v>
      </c>
      <c r="E16" s="4" t="s">
        <v>337</v>
      </c>
      <c r="F16" s="33">
        <f t="shared" si="0"/>
        <v>5</v>
      </c>
      <c r="G16" s="32"/>
      <c r="H16" s="33">
        <f t="shared" si="1"/>
        <v>0</v>
      </c>
      <c r="I16" s="2"/>
      <c r="J16" s="4"/>
      <c r="K16" s="4"/>
      <c r="L16" s="4"/>
      <c r="M16" s="4"/>
      <c r="N16" s="4"/>
      <c r="O16" s="4"/>
      <c r="P16" s="4"/>
      <c r="Q16" s="4"/>
      <c r="R16" s="4"/>
      <c r="S16" s="4"/>
      <c r="T16" s="4"/>
      <c r="U16" s="4"/>
      <c r="V16" s="4"/>
      <c r="W16" s="4"/>
      <c r="X16" s="4"/>
      <c r="Y16" s="4"/>
      <c r="Z16" s="4"/>
      <c r="AA16" s="4"/>
    </row>
    <row r="17" spans="1:27" s="27" customFormat="1" ht="27.6" x14ac:dyDescent="0.3">
      <c r="A17" s="28">
        <v>16</v>
      </c>
      <c r="B17" s="29" t="s">
        <v>4</v>
      </c>
      <c r="C17" s="29" t="s">
        <v>206</v>
      </c>
      <c r="D17" s="29" t="s">
        <v>316</v>
      </c>
      <c r="E17" s="4" t="s">
        <v>338</v>
      </c>
      <c r="F17" s="33">
        <f t="shared" si="0"/>
        <v>0</v>
      </c>
      <c r="G17" s="32"/>
      <c r="H17" s="33">
        <f t="shared" si="1"/>
        <v>0</v>
      </c>
      <c r="I17" s="2"/>
      <c r="J17" s="4"/>
      <c r="K17" s="4"/>
      <c r="L17" s="4"/>
      <c r="M17" s="4"/>
      <c r="N17" s="4"/>
      <c r="O17" s="4"/>
      <c r="P17" s="4"/>
      <c r="Q17" s="4"/>
      <c r="R17" s="4"/>
      <c r="S17" s="4"/>
      <c r="T17" s="4"/>
      <c r="U17" s="4"/>
      <c r="V17" s="4"/>
      <c r="W17" s="4"/>
      <c r="X17" s="4"/>
      <c r="Y17" s="4"/>
      <c r="Z17" s="4"/>
      <c r="AA17" s="4"/>
    </row>
    <row r="18" spans="1:27" s="6" customFormat="1" ht="27.6" x14ac:dyDescent="0.3">
      <c r="A18" s="18">
        <v>17</v>
      </c>
      <c r="B18" s="19" t="s">
        <v>32</v>
      </c>
      <c r="C18" s="19" t="s">
        <v>318</v>
      </c>
      <c r="D18" s="19" t="s">
        <v>34</v>
      </c>
      <c r="E18" s="4" t="s">
        <v>339</v>
      </c>
      <c r="F18" s="33">
        <f t="shared" si="0"/>
        <v>0</v>
      </c>
      <c r="G18" s="32"/>
      <c r="H18" s="33">
        <f t="shared" si="1"/>
        <v>0</v>
      </c>
      <c r="I18" s="2"/>
      <c r="J18" s="4"/>
      <c r="K18" s="4"/>
      <c r="L18" s="4"/>
      <c r="M18" s="4"/>
      <c r="N18" s="4"/>
      <c r="O18" s="4"/>
      <c r="P18" s="4"/>
      <c r="Q18" s="4"/>
      <c r="R18" s="4"/>
      <c r="S18" s="4"/>
      <c r="T18" s="4"/>
      <c r="U18" s="4"/>
      <c r="V18" s="4"/>
      <c r="W18" s="4"/>
      <c r="X18" s="4"/>
      <c r="Y18" s="4"/>
      <c r="Z18" s="4"/>
      <c r="AA18" s="4"/>
    </row>
    <row r="19" spans="1:27" s="6" customFormat="1" ht="27.6" x14ac:dyDescent="0.3">
      <c r="A19" s="18">
        <v>18</v>
      </c>
      <c r="B19" s="19" t="s">
        <v>32</v>
      </c>
      <c r="C19" s="19" t="s">
        <v>319</v>
      </c>
      <c r="D19" s="19" t="s">
        <v>36</v>
      </c>
      <c r="E19" s="4" t="s">
        <v>339</v>
      </c>
      <c r="F19" s="33">
        <f t="shared" si="0"/>
        <v>0</v>
      </c>
      <c r="G19" s="32"/>
      <c r="H19" s="33">
        <f t="shared" si="1"/>
        <v>0</v>
      </c>
      <c r="I19" s="2"/>
      <c r="J19" s="4"/>
      <c r="K19" s="4"/>
      <c r="L19" s="4"/>
      <c r="M19" s="4"/>
      <c r="N19" s="4"/>
      <c r="O19" s="4"/>
      <c r="P19" s="4"/>
      <c r="Q19" s="4"/>
      <c r="R19" s="4"/>
      <c r="S19" s="4"/>
      <c r="T19" s="4"/>
      <c r="U19" s="4"/>
      <c r="V19" s="4"/>
      <c r="W19" s="4"/>
      <c r="X19" s="4"/>
      <c r="Y19" s="4"/>
      <c r="Z19" s="4"/>
      <c r="AA19" s="4"/>
    </row>
    <row r="20" spans="1:27" s="6" customFormat="1" ht="13.8" x14ac:dyDescent="0.3">
      <c r="A20" s="18">
        <v>19</v>
      </c>
      <c r="B20" s="19" t="s">
        <v>32</v>
      </c>
      <c r="C20" s="19" t="s">
        <v>37</v>
      </c>
      <c r="D20" s="19" t="s">
        <v>38</v>
      </c>
      <c r="E20" s="4" t="s">
        <v>339</v>
      </c>
      <c r="F20" s="33">
        <f t="shared" si="0"/>
        <v>0</v>
      </c>
      <c r="G20" s="32"/>
      <c r="H20" s="33">
        <f t="shared" si="1"/>
        <v>0</v>
      </c>
      <c r="I20" s="2"/>
      <c r="J20" s="4"/>
      <c r="K20" s="4"/>
      <c r="L20" s="4"/>
      <c r="M20" s="4"/>
      <c r="N20" s="4"/>
      <c r="O20" s="4"/>
      <c r="P20" s="4"/>
      <c r="Q20" s="4"/>
      <c r="R20" s="4"/>
      <c r="S20" s="4"/>
      <c r="T20" s="4"/>
      <c r="U20" s="4"/>
      <c r="V20" s="4"/>
      <c r="W20" s="4"/>
      <c r="X20" s="4"/>
      <c r="Y20" s="4"/>
      <c r="Z20" s="4"/>
      <c r="AA20" s="4"/>
    </row>
    <row r="21" spans="1:27" s="6" customFormat="1" ht="13.8" x14ac:dyDescent="0.3">
      <c r="A21" s="28">
        <v>20</v>
      </c>
      <c r="B21" s="29" t="s">
        <v>32</v>
      </c>
      <c r="C21" s="29" t="s">
        <v>39</v>
      </c>
      <c r="D21" s="29" t="s">
        <v>40</v>
      </c>
      <c r="E21" s="4" t="s">
        <v>338</v>
      </c>
      <c r="F21" s="33">
        <f t="shared" si="0"/>
        <v>0</v>
      </c>
      <c r="G21" s="32"/>
      <c r="H21" s="33">
        <f t="shared" si="1"/>
        <v>0</v>
      </c>
      <c r="I21" s="2"/>
      <c r="J21" s="4"/>
      <c r="K21" s="4"/>
      <c r="L21" s="4"/>
      <c r="M21" s="4"/>
      <c r="N21" s="4"/>
      <c r="O21" s="4"/>
      <c r="P21" s="4"/>
      <c r="Q21" s="4"/>
      <c r="R21" s="4"/>
      <c r="S21" s="4"/>
      <c r="T21" s="4"/>
      <c r="U21" s="4"/>
      <c r="V21" s="4"/>
      <c r="W21" s="4"/>
      <c r="X21" s="4"/>
      <c r="Y21" s="4"/>
      <c r="Z21" s="4"/>
      <c r="AA21" s="4"/>
    </row>
    <row r="22" spans="1:27" s="6" customFormat="1" ht="13.8" x14ac:dyDescent="0.3">
      <c r="A22" s="14">
        <v>21</v>
      </c>
      <c r="B22" s="15" t="s">
        <v>32</v>
      </c>
      <c r="C22" s="15" t="s">
        <v>225</v>
      </c>
      <c r="D22" s="15" t="s">
        <v>198</v>
      </c>
      <c r="E22" s="4" t="s">
        <v>337</v>
      </c>
      <c r="F22" s="33">
        <f t="shared" si="0"/>
        <v>5</v>
      </c>
      <c r="G22" s="32"/>
      <c r="H22" s="33">
        <f t="shared" si="1"/>
        <v>0</v>
      </c>
      <c r="I22" s="2"/>
      <c r="J22" s="4"/>
      <c r="K22" s="4"/>
      <c r="L22" s="4"/>
      <c r="M22" s="4"/>
      <c r="N22" s="4"/>
      <c r="O22" s="4"/>
      <c r="P22" s="4"/>
      <c r="Q22" s="4"/>
      <c r="R22" s="4"/>
      <c r="S22" s="4"/>
      <c r="T22" s="4"/>
      <c r="U22" s="4"/>
      <c r="V22" s="4"/>
      <c r="W22" s="4"/>
      <c r="X22" s="4"/>
      <c r="Y22" s="4"/>
      <c r="Z22" s="4"/>
      <c r="AA22" s="4"/>
    </row>
    <row r="23" spans="1:27" s="6" customFormat="1" ht="27.6" x14ac:dyDescent="0.3">
      <c r="A23" s="14">
        <v>22</v>
      </c>
      <c r="B23" s="15" t="s">
        <v>32</v>
      </c>
      <c r="C23" s="15" t="s">
        <v>226</v>
      </c>
      <c r="D23" s="15" t="s">
        <v>292</v>
      </c>
      <c r="E23" s="4" t="s">
        <v>337</v>
      </c>
      <c r="F23" s="33">
        <f t="shared" si="0"/>
        <v>5</v>
      </c>
      <c r="G23" s="32"/>
      <c r="H23" s="33">
        <f t="shared" si="1"/>
        <v>0</v>
      </c>
      <c r="I23" s="2"/>
      <c r="J23" s="4"/>
      <c r="K23" s="4"/>
      <c r="L23" s="4"/>
      <c r="M23" s="4"/>
      <c r="N23" s="4"/>
      <c r="O23" s="4"/>
      <c r="P23" s="4"/>
      <c r="Q23" s="4"/>
      <c r="R23" s="4"/>
      <c r="S23" s="4"/>
      <c r="T23" s="4"/>
      <c r="U23" s="4"/>
      <c r="V23" s="4"/>
      <c r="W23" s="4"/>
      <c r="X23" s="4"/>
      <c r="Y23" s="4"/>
      <c r="Z23" s="4"/>
      <c r="AA23" s="4"/>
    </row>
    <row r="24" spans="1:27" s="7" customFormat="1" ht="13.8" x14ac:dyDescent="0.3">
      <c r="A24" s="25">
        <v>23</v>
      </c>
      <c r="B24" s="26" t="s">
        <v>43</v>
      </c>
      <c r="C24" s="26" t="s">
        <v>227</v>
      </c>
      <c r="D24" s="26" t="s">
        <v>28</v>
      </c>
      <c r="E24" s="4" t="s">
        <v>336</v>
      </c>
      <c r="F24" s="33">
        <f t="shared" si="0"/>
        <v>10</v>
      </c>
      <c r="G24" s="32"/>
      <c r="H24" s="33">
        <f t="shared" si="1"/>
        <v>0</v>
      </c>
      <c r="I24" s="2"/>
      <c r="J24" s="4"/>
      <c r="K24" s="4"/>
    </row>
    <row r="25" spans="1:27" s="7" customFormat="1" ht="13.8" x14ac:dyDescent="0.3">
      <c r="A25" s="25">
        <v>24</v>
      </c>
      <c r="B25" s="26" t="s">
        <v>43</v>
      </c>
      <c r="C25" s="26" t="s">
        <v>228</v>
      </c>
      <c r="D25" s="26" t="s">
        <v>19</v>
      </c>
      <c r="E25" s="4" t="s">
        <v>336</v>
      </c>
      <c r="F25" s="33">
        <f t="shared" si="0"/>
        <v>10</v>
      </c>
      <c r="G25" s="32"/>
      <c r="H25" s="33">
        <f t="shared" si="1"/>
        <v>0</v>
      </c>
      <c r="I25" s="2"/>
      <c r="J25" s="4"/>
      <c r="K25" s="4"/>
    </row>
    <row r="26" spans="1:27" s="7" customFormat="1" ht="13.8" x14ac:dyDescent="0.3">
      <c r="A26" s="25">
        <v>25</v>
      </c>
      <c r="B26" s="26" t="s">
        <v>43</v>
      </c>
      <c r="C26" s="26" t="s">
        <v>229</v>
      </c>
      <c r="D26" s="26" t="s">
        <v>293</v>
      </c>
      <c r="E26" s="4" t="s">
        <v>336</v>
      </c>
      <c r="F26" s="33">
        <f t="shared" si="0"/>
        <v>10</v>
      </c>
      <c r="G26" s="32"/>
      <c r="H26" s="33">
        <f t="shared" si="1"/>
        <v>0</v>
      </c>
      <c r="I26" s="2"/>
      <c r="J26" s="4"/>
      <c r="K26" s="4"/>
    </row>
    <row r="27" spans="1:27" s="7" customFormat="1" ht="13.8" x14ac:dyDescent="0.3">
      <c r="A27" s="25">
        <v>26</v>
      </c>
      <c r="B27" s="26" t="s">
        <v>43</v>
      </c>
      <c r="C27" s="26" t="s">
        <v>230</v>
      </c>
      <c r="D27" s="26" t="s">
        <v>28</v>
      </c>
      <c r="E27" s="4" t="s">
        <v>336</v>
      </c>
      <c r="F27" s="33">
        <f t="shared" si="0"/>
        <v>10</v>
      </c>
      <c r="G27" s="32"/>
      <c r="H27" s="33">
        <f t="shared" si="1"/>
        <v>0</v>
      </c>
      <c r="I27" s="2"/>
      <c r="J27" s="4"/>
      <c r="K27" s="4"/>
    </row>
    <row r="28" spans="1:27" s="7" customFormat="1" ht="13.8" x14ac:dyDescent="0.3">
      <c r="A28" s="25">
        <v>27</v>
      </c>
      <c r="B28" s="26" t="s">
        <v>43</v>
      </c>
      <c r="C28" s="26" t="s">
        <v>231</v>
      </c>
      <c r="D28" s="26" t="s">
        <v>28</v>
      </c>
      <c r="E28" s="4" t="s">
        <v>336</v>
      </c>
      <c r="F28" s="33">
        <f t="shared" si="0"/>
        <v>10</v>
      </c>
      <c r="G28" s="32"/>
      <c r="H28" s="33">
        <f t="shared" si="1"/>
        <v>0</v>
      </c>
      <c r="I28" s="2"/>
      <c r="J28" s="4"/>
      <c r="K28" s="4"/>
    </row>
    <row r="29" spans="1:27" s="7" customFormat="1" ht="13.8" x14ac:dyDescent="0.3">
      <c r="A29" s="25">
        <v>28</v>
      </c>
      <c r="B29" s="26" t="s">
        <v>43</v>
      </c>
      <c r="C29" s="26" t="s">
        <v>232</v>
      </c>
      <c r="D29" s="26" t="s">
        <v>28</v>
      </c>
      <c r="E29" s="4" t="s">
        <v>336</v>
      </c>
      <c r="F29" s="33">
        <f t="shared" si="0"/>
        <v>10</v>
      </c>
      <c r="G29" s="32"/>
      <c r="H29" s="33">
        <f t="shared" si="1"/>
        <v>0</v>
      </c>
      <c r="I29" s="2"/>
      <c r="J29" s="4"/>
      <c r="K29" s="4"/>
    </row>
    <row r="30" spans="1:27" s="7" customFormat="1" ht="27.6" x14ac:dyDescent="0.3">
      <c r="A30" s="25">
        <v>29</v>
      </c>
      <c r="B30" s="26" t="s">
        <v>43</v>
      </c>
      <c r="C30" s="26" t="s">
        <v>233</v>
      </c>
      <c r="D30" s="26" t="s">
        <v>294</v>
      </c>
      <c r="E30" s="4" t="s">
        <v>336</v>
      </c>
      <c r="F30" s="33">
        <f t="shared" si="0"/>
        <v>10</v>
      </c>
      <c r="G30" s="32"/>
      <c r="H30" s="33">
        <f t="shared" si="1"/>
        <v>0</v>
      </c>
      <c r="I30" s="2"/>
      <c r="J30" s="4"/>
      <c r="K30" s="4"/>
    </row>
    <row r="31" spans="1:27" s="7" customFormat="1" ht="13.8" x14ac:dyDescent="0.3">
      <c r="A31" s="25">
        <v>30</v>
      </c>
      <c r="B31" s="26" t="s">
        <v>43</v>
      </c>
      <c r="C31" s="26" t="s">
        <v>234</v>
      </c>
      <c r="D31" s="26" t="s">
        <v>28</v>
      </c>
      <c r="E31" s="4" t="s">
        <v>336</v>
      </c>
      <c r="F31" s="33">
        <f t="shared" si="0"/>
        <v>10</v>
      </c>
      <c r="G31" s="32"/>
      <c r="H31" s="33">
        <f t="shared" si="1"/>
        <v>0</v>
      </c>
      <c r="I31" s="2"/>
      <c r="J31" s="4"/>
      <c r="K31" s="4"/>
    </row>
    <row r="32" spans="1:27" s="7" customFormat="1" ht="13.8" x14ac:dyDescent="0.3">
      <c r="A32" s="25">
        <v>31</v>
      </c>
      <c r="B32" s="26" t="s">
        <v>43</v>
      </c>
      <c r="C32" s="26" t="s">
        <v>235</v>
      </c>
      <c r="D32" s="26" t="s">
        <v>136</v>
      </c>
      <c r="E32" s="4" t="s">
        <v>336</v>
      </c>
      <c r="F32" s="33">
        <f t="shared" si="0"/>
        <v>10</v>
      </c>
      <c r="G32" s="32"/>
      <c r="H32" s="33">
        <f t="shared" si="1"/>
        <v>0</v>
      </c>
      <c r="I32" s="2"/>
      <c r="J32" s="4"/>
      <c r="K32" s="4"/>
    </row>
    <row r="33" spans="1:11" s="7" customFormat="1" ht="13.8" x14ac:dyDescent="0.3">
      <c r="A33" s="25">
        <v>32</v>
      </c>
      <c r="B33" s="26" t="s">
        <v>43</v>
      </c>
      <c r="C33" s="26" t="s">
        <v>57</v>
      </c>
      <c r="D33" s="26" t="s">
        <v>58</v>
      </c>
      <c r="E33" s="4" t="s">
        <v>336</v>
      </c>
      <c r="F33" s="33">
        <f t="shared" si="0"/>
        <v>10</v>
      </c>
      <c r="G33" s="32"/>
      <c r="H33" s="33">
        <f t="shared" si="1"/>
        <v>0</v>
      </c>
      <c r="I33" s="2"/>
      <c r="J33" s="4"/>
      <c r="K33" s="4"/>
    </row>
    <row r="34" spans="1:11" s="7" customFormat="1" ht="13.8" x14ac:dyDescent="0.3">
      <c r="A34" s="25">
        <v>33</v>
      </c>
      <c r="B34" s="26" t="s">
        <v>43</v>
      </c>
      <c r="C34" s="26" t="s">
        <v>236</v>
      </c>
      <c r="D34" s="26" t="s">
        <v>60</v>
      </c>
      <c r="E34" s="4" t="s">
        <v>336</v>
      </c>
      <c r="F34" s="33">
        <f t="shared" si="0"/>
        <v>10</v>
      </c>
      <c r="G34" s="32"/>
      <c r="H34" s="33">
        <f t="shared" si="1"/>
        <v>0</v>
      </c>
      <c r="I34" s="2"/>
      <c r="J34" s="4"/>
      <c r="K34" s="4"/>
    </row>
    <row r="35" spans="1:11" s="7" customFormat="1" ht="13.8" x14ac:dyDescent="0.3">
      <c r="A35" s="28">
        <v>34</v>
      </c>
      <c r="B35" s="29" t="s">
        <v>43</v>
      </c>
      <c r="C35" s="29" t="s">
        <v>237</v>
      </c>
      <c r="D35" s="29" t="s">
        <v>60</v>
      </c>
      <c r="E35" s="4" t="s">
        <v>338</v>
      </c>
      <c r="F35" s="33">
        <f t="shared" si="0"/>
        <v>0</v>
      </c>
      <c r="G35" s="32"/>
      <c r="H35" s="33">
        <f t="shared" si="1"/>
        <v>0</v>
      </c>
      <c r="I35" s="2"/>
      <c r="J35" s="4"/>
      <c r="K35" s="4"/>
    </row>
    <row r="36" spans="1:11" s="7" customFormat="1" ht="13.8" x14ac:dyDescent="0.3">
      <c r="A36" s="25">
        <v>35</v>
      </c>
      <c r="B36" s="26" t="s">
        <v>43</v>
      </c>
      <c r="C36" s="26" t="s">
        <v>238</v>
      </c>
      <c r="D36" s="26" t="s">
        <v>60</v>
      </c>
      <c r="E36" s="4" t="s">
        <v>336</v>
      </c>
      <c r="F36" s="33">
        <f t="shared" si="0"/>
        <v>10</v>
      </c>
      <c r="G36" s="32"/>
      <c r="H36" s="33">
        <f t="shared" si="1"/>
        <v>0</v>
      </c>
      <c r="I36" s="2"/>
      <c r="J36" s="4"/>
      <c r="K36" s="4"/>
    </row>
    <row r="37" spans="1:11" s="8" customFormat="1" ht="13.8" x14ac:dyDescent="0.3">
      <c r="A37" s="25">
        <v>36</v>
      </c>
      <c r="B37" s="26" t="s">
        <v>61</v>
      </c>
      <c r="C37" s="26" t="s">
        <v>239</v>
      </c>
      <c r="D37" s="26" t="s">
        <v>63</v>
      </c>
      <c r="E37" s="4" t="s">
        <v>336</v>
      </c>
      <c r="F37" s="33">
        <f t="shared" si="0"/>
        <v>10</v>
      </c>
      <c r="G37" s="32"/>
      <c r="H37" s="33">
        <f t="shared" si="1"/>
        <v>0</v>
      </c>
      <c r="I37" s="2"/>
      <c r="J37" s="4"/>
      <c r="K37" s="4"/>
    </row>
    <row r="38" spans="1:11" s="8" customFormat="1" ht="13.8" x14ac:dyDescent="0.3">
      <c r="A38" s="25">
        <v>37</v>
      </c>
      <c r="B38" s="26" t="s">
        <v>61</v>
      </c>
      <c r="C38" s="26" t="s">
        <v>240</v>
      </c>
      <c r="D38" s="26" t="s">
        <v>63</v>
      </c>
      <c r="E38" s="4" t="s">
        <v>336</v>
      </c>
      <c r="F38" s="33">
        <f t="shared" si="0"/>
        <v>10</v>
      </c>
      <c r="G38" s="32"/>
      <c r="H38" s="33">
        <f t="shared" si="1"/>
        <v>0</v>
      </c>
      <c r="I38" s="2"/>
      <c r="J38" s="4"/>
      <c r="K38" s="4"/>
    </row>
    <row r="39" spans="1:11" s="8" customFormat="1" ht="13.8" x14ac:dyDescent="0.3">
      <c r="A39" s="25">
        <v>38</v>
      </c>
      <c r="B39" s="26" t="s">
        <v>61</v>
      </c>
      <c r="C39" s="26" t="s">
        <v>241</v>
      </c>
      <c r="D39" s="26" t="s">
        <v>295</v>
      </c>
      <c r="E39" s="4" t="s">
        <v>336</v>
      </c>
      <c r="F39" s="33">
        <f t="shared" si="0"/>
        <v>10</v>
      </c>
      <c r="G39" s="32"/>
      <c r="H39" s="33">
        <f t="shared" si="1"/>
        <v>0</v>
      </c>
      <c r="I39" s="2"/>
      <c r="J39" s="4"/>
      <c r="K39" s="4"/>
    </row>
    <row r="40" spans="1:11" s="8" customFormat="1" ht="27.6" x14ac:dyDescent="0.3">
      <c r="A40" s="25">
        <v>39</v>
      </c>
      <c r="B40" s="26" t="s">
        <v>61</v>
      </c>
      <c r="C40" s="26" t="s">
        <v>242</v>
      </c>
      <c r="D40" s="26" t="s">
        <v>63</v>
      </c>
      <c r="E40" s="4" t="s">
        <v>336</v>
      </c>
      <c r="F40" s="33">
        <f t="shared" si="0"/>
        <v>10</v>
      </c>
      <c r="G40" s="32"/>
      <c r="H40" s="33">
        <f t="shared" si="1"/>
        <v>0</v>
      </c>
      <c r="I40" s="2"/>
      <c r="J40" s="4"/>
      <c r="K40" s="4"/>
    </row>
    <row r="41" spans="1:11" s="8" customFormat="1" ht="13.8" x14ac:dyDescent="0.3">
      <c r="A41" s="25">
        <v>40</v>
      </c>
      <c r="B41" s="26" t="s">
        <v>61</v>
      </c>
      <c r="C41" s="26" t="s">
        <v>243</v>
      </c>
      <c r="D41" s="26" t="s">
        <v>191</v>
      </c>
      <c r="E41" s="4" t="s">
        <v>336</v>
      </c>
      <c r="F41" s="33">
        <f t="shared" si="0"/>
        <v>10</v>
      </c>
      <c r="G41" s="32"/>
      <c r="H41" s="33">
        <f t="shared" si="1"/>
        <v>0</v>
      </c>
      <c r="I41" s="2"/>
      <c r="J41" s="4"/>
      <c r="K41" s="4"/>
    </row>
    <row r="42" spans="1:11" s="8" customFormat="1" ht="27.6" x14ac:dyDescent="0.3">
      <c r="A42" s="25">
        <v>41</v>
      </c>
      <c r="B42" s="26" t="s">
        <v>61</v>
      </c>
      <c r="C42" s="26" t="s">
        <v>69</v>
      </c>
      <c r="D42" s="26" t="s">
        <v>63</v>
      </c>
      <c r="E42" s="4" t="s">
        <v>336</v>
      </c>
      <c r="F42" s="33">
        <f t="shared" si="0"/>
        <v>10</v>
      </c>
      <c r="G42" s="32"/>
      <c r="H42" s="33">
        <f t="shared" si="1"/>
        <v>0</v>
      </c>
      <c r="I42" s="2"/>
      <c r="J42" s="4"/>
      <c r="K42" s="4"/>
    </row>
    <row r="43" spans="1:11" s="8" customFormat="1" ht="13.8" x14ac:dyDescent="0.3">
      <c r="A43" s="25">
        <v>42</v>
      </c>
      <c r="B43" s="26" t="s">
        <v>61</v>
      </c>
      <c r="C43" s="26" t="s">
        <v>244</v>
      </c>
      <c r="D43" s="26" t="s">
        <v>63</v>
      </c>
      <c r="E43" s="4" t="s">
        <v>336</v>
      </c>
      <c r="F43" s="33">
        <f t="shared" si="0"/>
        <v>10</v>
      </c>
      <c r="G43" s="32"/>
      <c r="H43" s="33">
        <f t="shared" si="1"/>
        <v>0</v>
      </c>
      <c r="I43" s="2"/>
      <c r="J43" s="4"/>
      <c r="K43" s="4"/>
    </row>
    <row r="44" spans="1:11" s="8" customFormat="1" ht="13.8" x14ac:dyDescent="0.3">
      <c r="A44" s="25">
        <v>43</v>
      </c>
      <c r="B44" s="26" t="s">
        <v>61</v>
      </c>
      <c r="C44" s="26" t="s">
        <v>245</v>
      </c>
      <c r="D44" s="26" t="s">
        <v>72</v>
      </c>
      <c r="E44" s="4" t="s">
        <v>336</v>
      </c>
      <c r="F44" s="33">
        <f t="shared" si="0"/>
        <v>10</v>
      </c>
      <c r="G44" s="32"/>
      <c r="H44" s="33">
        <f t="shared" si="1"/>
        <v>0</v>
      </c>
      <c r="I44" s="2"/>
      <c r="J44" s="4"/>
      <c r="K44" s="4"/>
    </row>
    <row r="45" spans="1:11" s="8" customFormat="1" ht="13.8" x14ac:dyDescent="0.3">
      <c r="A45" s="25">
        <v>44</v>
      </c>
      <c r="B45" s="26" t="s">
        <v>61</v>
      </c>
      <c r="C45" s="26" t="s">
        <v>246</v>
      </c>
      <c r="D45" s="26" t="s">
        <v>63</v>
      </c>
      <c r="E45" s="4" t="s">
        <v>336</v>
      </c>
      <c r="F45" s="33">
        <f t="shared" si="0"/>
        <v>10</v>
      </c>
      <c r="G45" s="32"/>
      <c r="H45" s="33">
        <f t="shared" si="1"/>
        <v>0</v>
      </c>
      <c r="I45" s="2"/>
      <c r="J45" s="4"/>
      <c r="K45" s="4"/>
    </row>
    <row r="46" spans="1:11" s="8" customFormat="1" ht="13.8" x14ac:dyDescent="0.3">
      <c r="A46" s="25">
        <v>45</v>
      </c>
      <c r="B46" s="26" t="s">
        <v>61</v>
      </c>
      <c r="C46" s="26" t="s">
        <v>74</v>
      </c>
      <c r="D46" s="26" t="s">
        <v>296</v>
      </c>
      <c r="E46" s="4" t="s">
        <v>336</v>
      </c>
      <c r="F46" s="33">
        <f t="shared" si="0"/>
        <v>10</v>
      </c>
      <c r="G46" s="32"/>
      <c r="H46" s="33">
        <f t="shared" si="1"/>
        <v>0</v>
      </c>
      <c r="I46" s="2"/>
      <c r="J46" s="4"/>
      <c r="K46" s="4"/>
    </row>
    <row r="47" spans="1:11" s="8" customFormat="1" ht="13.8" x14ac:dyDescent="0.3">
      <c r="A47" s="25">
        <v>46</v>
      </c>
      <c r="B47" s="26" t="s">
        <v>61</v>
      </c>
      <c r="C47" s="26" t="s">
        <v>247</v>
      </c>
      <c r="D47" s="26" t="s">
        <v>78</v>
      </c>
      <c r="E47" s="4" t="s">
        <v>336</v>
      </c>
      <c r="F47" s="33">
        <f t="shared" si="0"/>
        <v>10</v>
      </c>
      <c r="G47" s="32"/>
      <c r="H47" s="33">
        <f t="shared" si="1"/>
        <v>0</v>
      </c>
      <c r="I47" s="2"/>
      <c r="J47" s="4"/>
      <c r="K47" s="4"/>
    </row>
    <row r="48" spans="1:11" s="8" customFormat="1" ht="13.8" x14ac:dyDescent="0.3">
      <c r="A48" s="14">
        <v>47</v>
      </c>
      <c r="B48" s="15" t="s">
        <v>61</v>
      </c>
      <c r="C48" s="15" t="s">
        <v>248</v>
      </c>
      <c r="D48" s="15" t="s">
        <v>193</v>
      </c>
      <c r="E48" s="4" t="s">
        <v>337</v>
      </c>
      <c r="F48" s="33">
        <f t="shared" si="0"/>
        <v>5</v>
      </c>
      <c r="G48" s="32"/>
      <c r="H48" s="33">
        <f t="shared" si="1"/>
        <v>0</v>
      </c>
      <c r="I48" s="2"/>
      <c r="J48" s="4"/>
      <c r="K48" s="4"/>
    </row>
    <row r="49" spans="1:11" s="9" customFormat="1" ht="13.8" x14ac:dyDescent="0.3">
      <c r="A49" s="25">
        <v>48</v>
      </c>
      <c r="B49" s="26" t="s">
        <v>79</v>
      </c>
      <c r="C49" s="26" t="s">
        <v>194</v>
      </c>
      <c r="D49" s="26" t="s">
        <v>81</v>
      </c>
      <c r="E49" s="4" t="s">
        <v>336</v>
      </c>
      <c r="F49" s="33">
        <f t="shared" si="0"/>
        <v>10</v>
      </c>
      <c r="G49" s="32"/>
      <c r="H49" s="33">
        <f t="shared" si="1"/>
        <v>0</v>
      </c>
      <c r="I49" s="2"/>
      <c r="J49" s="4"/>
      <c r="K49" s="4"/>
    </row>
    <row r="50" spans="1:11" s="9" customFormat="1" ht="13.8" x14ac:dyDescent="0.3">
      <c r="A50" s="25">
        <v>49</v>
      </c>
      <c r="B50" s="26" t="s">
        <v>79</v>
      </c>
      <c r="C50" s="26" t="s">
        <v>249</v>
      </c>
      <c r="D50" s="26" t="s">
        <v>298</v>
      </c>
      <c r="E50" s="4" t="s">
        <v>336</v>
      </c>
      <c r="F50" s="33">
        <f t="shared" si="0"/>
        <v>10</v>
      </c>
      <c r="G50" s="32"/>
      <c r="H50" s="33">
        <f t="shared" si="1"/>
        <v>0</v>
      </c>
      <c r="I50" s="2"/>
      <c r="J50" s="4"/>
      <c r="K50" s="4"/>
    </row>
    <row r="51" spans="1:11" s="9" customFormat="1" ht="13.8" x14ac:dyDescent="0.3">
      <c r="A51" s="14">
        <v>50</v>
      </c>
      <c r="B51" s="15" t="s">
        <v>79</v>
      </c>
      <c r="C51" s="15" t="s">
        <v>250</v>
      </c>
      <c r="D51" s="15" t="s">
        <v>297</v>
      </c>
      <c r="E51" s="4" t="s">
        <v>337</v>
      </c>
      <c r="F51" s="33">
        <f t="shared" si="0"/>
        <v>5</v>
      </c>
      <c r="G51" s="32"/>
      <c r="H51" s="33">
        <f t="shared" si="1"/>
        <v>0</v>
      </c>
      <c r="I51" s="2"/>
      <c r="J51" s="4"/>
      <c r="K51" s="4"/>
    </row>
    <row r="52" spans="1:11" s="9" customFormat="1" ht="13.8" x14ac:dyDescent="0.3">
      <c r="A52" s="25">
        <v>51</v>
      </c>
      <c r="B52" s="26" t="s">
        <v>79</v>
      </c>
      <c r="C52" s="26" t="s">
        <v>251</v>
      </c>
      <c r="D52" s="26" t="s">
        <v>88</v>
      </c>
      <c r="E52" s="4" t="s">
        <v>336</v>
      </c>
      <c r="F52" s="33">
        <f t="shared" si="0"/>
        <v>10</v>
      </c>
      <c r="G52" s="32"/>
      <c r="H52" s="33">
        <f t="shared" si="1"/>
        <v>0</v>
      </c>
      <c r="I52" s="2"/>
      <c r="J52" s="4"/>
      <c r="K52" s="4"/>
    </row>
    <row r="53" spans="1:11" s="9" customFormat="1" ht="13.8" x14ac:dyDescent="0.3">
      <c r="A53" s="25">
        <v>52</v>
      </c>
      <c r="B53" s="26" t="s">
        <v>79</v>
      </c>
      <c r="C53" s="26" t="s">
        <v>252</v>
      </c>
      <c r="D53" s="26" t="s">
        <v>299</v>
      </c>
      <c r="E53" s="4" t="s">
        <v>336</v>
      </c>
      <c r="F53" s="33">
        <f t="shared" si="0"/>
        <v>10</v>
      </c>
      <c r="G53" s="32"/>
      <c r="H53" s="33">
        <f t="shared" si="1"/>
        <v>0</v>
      </c>
      <c r="I53" s="2"/>
      <c r="J53" s="4"/>
      <c r="K53" s="4"/>
    </row>
    <row r="54" spans="1:11" s="9" customFormat="1" ht="27.6" x14ac:dyDescent="0.3">
      <c r="A54" s="25">
        <v>53</v>
      </c>
      <c r="B54" s="26" t="s">
        <v>79</v>
      </c>
      <c r="C54" s="26" t="s">
        <v>253</v>
      </c>
      <c r="D54" s="26" t="s">
        <v>92</v>
      </c>
      <c r="E54" s="4" t="s">
        <v>336</v>
      </c>
      <c r="F54" s="33">
        <f t="shared" si="0"/>
        <v>10</v>
      </c>
      <c r="G54" s="32"/>
      <c r="H54" s="33">
        <f t="shared" si="1"/>
        <v>0</v>
      </c>
      <c r="I54" s="2"/>
      <c r="J54" s="4"/>
      <c r="K54" s="4"/>
    </row>
    <row r="55" spans="1:11" s="9" customFormat="1" ht="13.8" x14ac:dyDescent="0.3">
      <c r="A55" s="25">
        <v>54</v>
      </c>
      <c r="B55" s="26" t="s">
        <v>79</v>
      </c>
      <c r="C55" s="26" t="s">
        <v>93</v>
      </c>
      <c r="D55" s="26" t="s">
        <v>81</v>
      </c>
      <c r="E55" s="4" t="s">
        <v>336</v>
      </c>
      <c r="F55" s="33">
        <f t="shared" si="0"/>
        <v>10</v>
      </c>
      <c r="G55" s="32"/>
      <c r="H55" s="33">
        <f t="shared" si="1"/>
        <v>0</v>
      </c>
      <c r="I55" s="2"/>
      <c r="J55" s="4"/>
      <c r="K55" s="4"/>
    </row>
    <row r="56" spans="1:11" s="11" customFormat="1" ht="27.6" x14ac:dyDescent="0.3">
      <c r="A56" s="28">
        <v>55</v>
      </c>
      <c r="B56" s="29" t="s">
        <v>94</v>
      </c>
      <c r="C56" s="29" t="s">
        <v>323</v>
      </c>
      <c r="D56" s="29" t="s">
        <v>17</v>
      </c>
      <c r="E56" s="4" t="s">
        <v>338</v>
      </c>
      <c r="F56" s="33">
        <f t="shared" si="0"/>
        <v>0</v>
      </c>
      <c r="G56" s="32"/>
      <c r="H56" s="33">
        <f t="shared" si="1"/>
        <v>0</v>
      </c>
      <c r="I56" s="2"/>
      <c r="J56" s="4"/>
      <c r="K56" s="4"/>
    </row>
    <row r="57" spans="1:11" s="11" customFormat="1" ht="27.6" x14ac:dyDescent="0.3">
      <c r="A57" s="25">
        <v>56</v>
      </c>
      <c r="B57" s="26" t="s">
        <v>94</v>
      </c>
      <c r="C57" s="26" t="s">
        <v>254</v>
      </c>
      <c r="D57" s="26" t="s">
        <v>300</v>
      </c>
      <c r="E57" s="4" t="s">
        <v>336</v>
      </c>
      <c r="F57" s="33">
        <f t="shared" si="0"/>
        <v>10</v>
      </c>
      <c r="G57" s="32"/>
      <c r="H57" s="33">
        <f t="shared" si="1"/>
        <v>0</v>
      </c>
      <c r="I57" s="2"/>
      <c r="J57" s="4"/>
      <c r="K57" s="4"/>
    </row>
    <row r="58" spans="1:11" s="11" customFormat="1" ht="27.6" x14ac:dyDescent="0.3">
      <c r="A58" s="14">
        <v>57</v>
      </c>
      <c r="B58" s="15" t="s">
        <v>94</v>
      </c>
      <c r="C58" s="15" t="s">
        <v>325</v>
      </c>
      <c r="D58" s="15" t="s">
        <v>301</v>
      </c>
      <c r="E58" s="4" t="s">
        <v>337</v>
      </c>
      <c r="F58" s="33">
        <f t="shared" si="0"/>
        <v>5</v>
      </c>
      <c r="G58" s="32"/>
      <c r="H58" s="33">
        <f t="shared" si="1"/>
        <v>0</v>
      </c>
      <c r="I58" s="2"/>
      <c r="J58" s="4"/>
      <c r="K58" s="4"/>
    </row>
    <row r="59" spans="1:11" s="11" customFormat="1" ht="27.6" x14ac:dyDescent="0.3">
      <c r="A59" s="28">
        <v>58</v>
      </c>
      <c r="B59" s="29" t="s">
        <v>94</v>
      </c>
      <c r="C59" s="29" t="s">
        <v>97</v>
      </c>
      <c r="D59" s="29" t="s">
        <v>324</v>
      </c>
      <c r="E59" s="4" t="s">
        <v>338</v>
      </c>
      <c r="F59" s="33">
        <f t="shared" si="0"/>
        <v>0</v>
      </c>
      <c r="G59" s="32"/>
      <c r="H59" s="33">
        <f t="shared" si="1"/>
        <v>0</v>
      </c>
      <c r="I59" s="2"/>
      <c r="J59" s="4"/>
      <c r="K59" s="4"/>
    </row>
    <row r="60" spans="1:11" s="11" customFormat="1" ht="13.8" x14ac:dyDescent="0.3">
      <c r="A60" s="25">
        <v>59</v>
      </c>
      <c r="B60" s="26" t="s">
        <v>94</v>
      </c>
      <c r="C60" s="26" t="s">
        <v>255</v>
      </c>
      <c r="D60" s="26" t="s">
        <v>17</v>
      </c>
      <c r="E60" s="4" t="s">
        <v>336</v>
      </c>
      <c r="F60" s="33">
        <f t="shared" si="0"/>
        <v>10</v>
      </c>
      <c r="G60" s="32"/>
      <c r="H60" s="33">
        <f t="shared" si="1"/>
        <v>0</v>
      </c>
      <c r="I60" s="2"/>
      <c r="J60" s="4"/>
      <c r="K60" s="4"/>
    </row>
    <row r="61" spans="1:11" s="11" customFormat="1" ht="13.8" x14ac:dyDescent="0.3">
      <c r="A61" s="28">
        <v>60</v>
      </c>
      <c r="B61" s="29" t="s">
        <v>94</v>
      </c>
      <c r="C61" s="29" t="s">
        <v>99</v>
      </c>
      <c r="D61" s="29" t="s">
        <v>17</v>
      </c>
      <c r="E61" s="4" t="s">
        <v>338</v>
      </c>
      <c r="F61" s="33">
        <f t="shared" si="0"/>
        <v>0</v>
      </c>
      <c r="G61" s="32"/>
      <c r="H61" s="33">
        <f t="shared" si="1"/>
        <v>0</v>
      </c>
      <c r="I61" s="2"/>
      <c r="J61" s="4"/>
      <c r="K61" s="4"/>
    </row>
    <row r="62" spans="1:11" s="11" customFormat="1" ht="27.6" x14ac:dyDescent="0.3">
      <c r="A62" s="25">
        <v>61</v>
      </c>
      <c r="B62" s="26" t="s">
        <v>94</v>
      </c>
      <c r="C62" s="26" t="s">
        <v>256</v>
      </c>
      <c r="D62" s="26" t="s">
        <v>302</v>
      </c>
      <c r="E62" s="4" t="s">
        <v>336</v>
      </c>
      <c r="F62" s="33">
        <f t="shared" si="0"/>
        <v>10</v>
      </c>
      <c r="G62" s="32"/>
      <c r="H62" s="33">
        <f t="shared" si="1"/>
        <v>0</v>
      </c>
      <c r="I62" s="2"/>
      <c r="J62" s="4"/>
      <c r="K62" s="4"/>
    </row>
    <row r="63" spans="1:11" s="11" customFormat="1" ht="13.8" x14ac:dyDescent="0.3">
      <c r="A63" s="25">
        <v>62</v>
      </c>
      <c r="B63" s="26" t="s">
        <v>94</v>
      </c>
      <c r="C63" s="26" t="s">
        <v>257</v>
      </c>
      <c r="D63" s="26" t="s">
        <v>303</v>
      </c>
      <c r="E63" s="4" t="s">
        <v>336</v>
      </c>
      <c r="F63" s="33">
        <f t="shared" si="0"/>
        <v>10</v>
      </c>
      <c r="G63" s="32"/>
      <c r="H63" s="33">
        <f t="shared" si="1"/>
        <v>0</v>
      </c>
      <c r="I63" s="2"/>
      <c r="J63" s="4"/>
      <c r="K63" s="4"/>
    </row>
    <row r="64" spans="1:11" s="12" customFormat="1" ht="13.8" x14ac:dyDescent="0.3">
      <c r="A64" s="25">
        <v>63</v>
      </c>
      <c r="B64" s="26" t="s">
        <v>100</v>
      </c>
      <c r="C64" s="26" t="s">
        <v>258</v>
      </c>
      <c r="D64" s="26" t="s">
        <v>102</v>
      </c>
      <c r="E64" s="4" t="s">
        <v>336</v>
      </c>
      <c r="F64" s="33">
        <f t="shared" si="0"/>
        <v>10</v>
      </c>
      <c r="G64" s="32"/>
      <c r="H64" s="33">
        <f t="shared" si="1"/>
        <v>0</v>
      </c>
      <c r="I64" s="2"/>
      <c r="J64" s="4"/>
      <c r="K64" s="4"/>
    </row>
    <row r="65" spans="1:11" s="12" customFormat="1" ht="13.8" x14ac:dyDescent="0.3">
      <c r="A65" s="18">
        <v>64</v>
      </c>
      <c r="B65" s="19" t="s">
        <v>100</v>
      </c>
      <c r="C65" s="19" t="s">
        <v>259</v>
      </c>
      <c r="D65" s="19" t="s">
        <v>102</v>
      </c>
      <c r="E65" s="4" t="s">
        <v>339</v>
      </c>
      <c r="F65" s="33">
        <f t="shared" si="0"/>
        <v>0</v>
      </c>
      <c r="G65" s="32"/>
      <c r="H65" s="33">
        <f t="shared" si="1"/>
        <v>0</v>
      </c>
      <c r="I65" s="2"/>
      <c r="J65" s="4"/>
      <c r="K65" s="4"/>
    </row>
    <row r="66" spans="1:11" s="12" customFormat="1" ht="13.8" x14ac:dyDescent="0.3">
      <c r="A66" s="25">
        <v>65</v>
      </c>
      <c r="B66" s="26" t="s">
        <v>100</v>
      </c>
      <c r="C66" s="26" t="s">
        <v>104</v>
      </c>
      <c r="D66" s="26" t="s">
        <v>19</v>
      </c>
      <c r="E66" s="4" t="s">
        <v>336</v>
      </c>
      <c r="F66" s="33">
        <f t="shared" si="0"/>
        <v>10</v>
      </c>
      <c r="G66" s="32"/>
      <c r="H66" s="33">
        <f t="shared" si="1"/>
        <v>0</v>
      </c>
      <c r="I66" s="2"/>
      <c r="J66" s="4"/>
      <c r="K66" s="4"/>
    </row>
    <row r="67" spans="1:11" s="12" customFormat="1" ht="27.6" x14ac:dyDescent="0.3">
      <c r="A67" s="25">
        <v>66</v>
      </c>
      <c r="B67" s="26" t="s">
        <v>100</v>
      </c>
      <c r="C67" s="26" t="s">
        <v>260</v>
      </c>
      <c r="D67" s="26" t="s">
        <v>106</v>
      </c>
      <c r="E67" s="4" t="s">
        <v>336</v>
      </c>
      <c r="F67" s="33">
        <f t="shared" ref="F67:F115" si="2">IF(E67="Imprescindível",10,IF(E67="Necessário",5,IF(E67="Recomendado",2,IF(E67="Sugerido",1,0))))</f>
        <v>10</v>
      </c>
      <c r="G67" s="32"/>
      <c r="H67" s="33">
        <f t="shared" ref="H67:H115" si="3">VALUE(IF(G67="SIM",F67,0))</f>
        <v>0</v>
      </c>
      <c r="I67" s="2"/>
      <c r="J67" s="4"/>
      <c r="K67" s="4"/>
    </row>
    <row r="68" spans="1:11" s="12" customFormat="1" ht="27.6" x14ac:dyDescent="0.3">
      <c r="A68" s="25">
        <v>67</v>
      </c>
      <c r="B68" s="26" t="s">
        <v>100</v>
      </c>
      <c r="C68" s="26" t="s">
        <v>107</v>
      </c>
      <c r="D68" s="26" t="s">
        <v>106</v>
      </c>
      <c r="E68" s="4" t="s">
        <v>336</v>
      </c>
      <c r="F68" s="33">
        <f t="shared" si="2"/>
        <v>10</v>
      </c>
      <c r="G68" s="32"/>
      <c r="H68" s="33">
        <f t="shared" si="3"/>
        <v>0</v>
      </c>
      <c r="I68" s="2"/>
      <c r="J68" s="4"/>
      <c r="K68" s="4"/>
    </row>
    <row r="69" spans="1:11" s="12" customFormat="1" ht="27.6" x14ac:dyDescent="0.3">
      <c r="A69" s="25">
        <v>68</v>
      </c>
      <c r="B69" s="26" t="s">
        <v>100</v>
      </c>
      <c r="C69" s="26" t="s">
        <v>261</v>
      </c>
      <c r="D69" s="26" t="s">
        <v>42</v>
      </c>
      <c r="E69" s="4" t="s">
        <v>336</v>
      </c>
      <c r="F69" s="33">
        <f t="shared" si="2"/>
        <v>10</v>
      </c>
      <c r="G69" s="32"/>
      <c r="H69" s="33">
        <f t="shared" si="3"/>
        <v>0</v>
      </c>
      <c r="I69" s="2"/>
      <c r="J69" s="4"/>
      <c r="K69" s="4"/>
    </row>
    <row r="70" spans="1:11" s="12" customFormat="1" ht="13.8" x14ac:dyDescent="0.3">
      <c r="A70" s="25">
        <v>69</v>
      </c>
      <c r="B70" s="26" t="s">
        <v>100</v>
      </c>
      <c r="C70" s="26" t="s">
        <v>262</v>
      </c>
      <c r="D70" s="26" t="s">
        <v>110</v>
      </c>
      <c r="E70" s="4" t="s">
        <v>336</v>
      </c>
      <c r="F70" s="33">
        <f t="shared" si="2"/>
        <v>10</v>
      </c>
      <c r="G70" s="32"/>
      <c r="H70" s="33">
        <f t="shared" si="3"/>
        <v>0</v>
      </c>
      <c r="I70" s="2"/>
      <c r="J70" s="4"/>
      <c r="K70" s="4"/>
    </row>
    <row r="71" spans="1:11" s="12" customFormat="1" ht="13.8" x14ac:dyDescent="0.3">
      <c r="A71" s="25">
        <v>70</v>
      </c>
      <c r="B71" s="26" t="s">
        <v>100</v>
      </c>
      <c r="C71" s="26" t="s">
        <v>263</v>
      </c>
      <c r="D71" s="26" t="s">
        <v>19</v>
      </c>
      <c r="E71" s="4" t="s">
        <v>336</v>
      </c>
      <c r="F71" s="33">
        <f t="shared" si="2"/>
        <v>10</v>
      </c>
      <c r="G71" s="32"/>
      <c r="H71" s="33">
        <f t="shared" si="3"/>
        <v>0</v>
      </c>
      <c r="I71" s="2"/>
      <c r="J71" s="4"/>
      <c r="K71" s="4"/>
    </row>
    <row r="72" spans="1:11" s="12" customFormat="1" ht="27.6" x14ac:dyDescent="0.3">
      <c r="A72" s="25">
        <v>71</v>
      </c>
      <c r="B72" s="26" t="s">
        <v>100</v>
      </c>
      <c r="C72" s="26" t="s">
        <v>264</v>
      </c>
      <c r="D72" s="26" t="s">
        <v>304</v>
      </c>
      <c r="E72" s="4" t="s">
        <v>336</v>
      </c>
      <c r="F72" s="33">
        <f t="shared" si="2"/>
        <v>10</v>
      </c>
      <c r="G72" s="32"/>
      <c r="H72" s="33">
        <f t="shared" si="3"/>
        <v>0</v>
      </c>
      <c r="I72" s="2"/>
      <c r="J72" s="4"/>
      <c r="K72" s="4"/>
    </row>
    <row r="73" spans="1:11" s="12" customFormat="1" ht="13.8" x14ac:dyDescent="0.3">
      <c r="A73" s="28">
        <v>72</v>
      </c>
      <c r="B73" s="29" t="s">
        <v>100</v>
      </c>
      <c r="C73" s="29" t="s">
        <v>114</v>
      </c>
      <c r="D73" s="29" t="s">
        <v>115</v>
      </c>
      <c r="E73" s="4" t="s">
        <v>338</v>
      </c>
      <c r="F73" s="33">
        <f t="shared" si="2"/>
        <v>0</v>
      </c>
      <c r="G73" s="32"/>
      <c r="H73" s="33">
        <f t="shared" si="3"/>
        <v>0</v>
      </c>
      <c r="I73" s="2"/>
      <c r="J73" s="4"/>
      <c r="K73" s="4"/>
    </row>
    <row r="74" spans="1:11" s="12" customFormat="1" ht="27.6" x14ac:dyDescent="0.3">
      <c r="A74" s="18">
        <v>73</v>
      </c>
      <c r="B74" s="19" t="s">
        <v>100</v>
      </c>
      <c r="C74" s="19" t="s">
        <v>331</v>
      </c>
      <c r="D74" s="19" t="s">
        <v>182</v>
      </c>
      <c r="E74" s="4" t="s">
        <v>339</v>
      </c>
      <c r="F74" s="33">
        <f t="shared" si="2"/>
        <v>0</v>
      </c>
      <c r="G74" s="32"/>
      <c r="H74" s="33">
        <f t="shared" si="3"/>
        <v>0</v>
      </c>
      <c r="I74" s="2"/>
      <c r="J74" s="4"/>
      <c r="K74" s="4"/>
    </row>
    <row r="75" spans="1:11" s="12" customFormat="1" ht="13.8" x14ac:dyDescent="0.3">
      <c r="A75" s="18">
        <v>74</v>
      </c>
      <c r="B75" s="19" t="s">
        <v>100</v>
      </c>
      <c r="C75" s="19" t="s">
        <v>265</v>
      </c>
      <c r="D75" s="19" t="s">
        <v>182</v>
      </c>
      <c r="E75" s="4" t="s">
        <v>339</v>
      </c>
      <c r="F75" s="33">
        <f t="shared" si="2"/>
        <v>0</v>
      </c>
      <c r="G75" s="32"/>
      <c r="H75" s="33">
        <f t="shared" si="3"/>
        <v>0</v>
      </c>
      <c r="I75" s="2"/>
      <c r="J75" s="4"/>
      <c r="K75" s="4"/>
    </row>
    <row r="76" spans="1:11" s="12" customFormat="1" ht="13.8" x14ac:dyDescent="0.3">
      <c r="A76" s="18">
        <v>75</v>
      </c>
      <c r="B76" s="19" t="s">
        <v>100</v>
      </c>
      <c r="C76" s="19" t="s">
        <v>266</v>
      </c>
      <c r="D76" s="19" t="s">
        <v>182</v>
      </c>
      <c r="E76" s="4" t="s">
        <v>339</v>
      </c>
      <c r="F76" s="33">
        <f t="shared" si="2"/>
        <v>0</v>
      </c>
      <c r="G76" s="32"/>
      <c r="H76" s="33">
        <f t="shared" si="3"/>
        <v>0</v>
      </c>
      <c r="I76" s="2"/>
      <c r="J76" s="4"/>
      <c r="K76" s="4"/>
    </row>
    <row r="77" spans="1:11" s="12" customFormat="1" ht="13.8" x14ac:dyDescent="0.3">
      <c r="A77" s="25">
        <v>76</v>
      </c>
      <c r="B77" s="26" t="s">
        <v>100</v>
      </c>
      <c r="C77" s="26" t="s">
        <v>267</v>
      </c>
      <c r="D77" s="26" t="s">
        <v>115</v>
      </c>
      <c r="E77" s="4" t="s">
        <v>336</v>
      </c>
      <c r="F77" s="33">
        <f t="shared" si="2"/>
        <v>10</v>
      </c>
      <c r="G77" s="32"/>
      <c r="H77" s="33">
        <f t="shared" si="3"/>
        <v>0</v>
      </c>
      <c r="I77" s="2"/>
      <c r="J77" s="4"/>
      <c r="K77" s="4"/>
    </row>
    <row r="78" spans="1:11" s="12" customFormat="1" ht="13.8" x14ac:dyDescent="0.3">
      <c r="A78" s="25">
        <v>77</v>
      </c>
      <c r="B78" s="26" t="s">
        <v>100</v>
      </c>
      <c r="C78" s="26" t="s">
        <v>268</v>
      </c>
      <c r="D78" s="26" t="s">
        <v>187</v>
      </c>
      <c r="E78" s="4" t="s">
        <v>336</v>
      </c>
      <c r="F78" s="33">
        <f t="shared" si="2"/>
        <v>10</v>
      </c>
      <c r="G78" s="32"/>
      <c r="H78" s="33">
        <f t="shared" si="3"/>
        <v>0</v>
      </c>
      <c r="I78" s="2"/>
      <c r="J78" s="4"/>
      <c r="K78" s="4"/>
    </row>
    <row r="79" spans="1:11" s="13" customFormat="1" ht="13.8" x14ac:dyDescent="0.3">
      <c r="A79" s="25">
        <v>78</v>
      </c>
      <c r="B79" s="26" t="s">
        <v>116</v>
      </c>
      <c r="C79" s="26" t="s">
        <v>117</v>
      </c>
      <c r="D79" s="26" t="s">
        <v>15</v>
      </c>
      <c r="E79" s="4" t="s">
        <v>336</v>
      </c>
      <c r="F79" s="33">
        <f t="shared" si="2"/>
        <v>10</v>
      </c>
      <c r="G79" s="32"/>
      <c r="H79" s="33">
        <f t="shared" si="3"/>
        <v>0</v>
      </c>
      <c r="I79" s="2"/>
      <c r="J79" s="4"/>
      <c r="K79" s="4"/>
    </row>
    <row r="80" spans="1:11" s="13" customFormat="1" ht="27.6" x14ac:dyDescent="0.3">
      <c r="A80" s="25">
        <v>79</v>
      </c>
      <c r="B80" s="26" t="s">
        <v>116</v>
      </c>
      <c r="C80" s="26" t="s">
        <v>118</v>
      </c>
      <c r="D80" s="26" t="s">
        <v>15</v>
      </c>
      <c r="E80" s="4" t="s">
        <v>336</v>
      </c>
      <c r="F80" s="33">
        <f t="shared" si="2"/>
        <v>10</v>
      </c>
      <c r="G80" s="32"/>
      <c r="H80" s="33">
        <f t="shared" si="3"/>
        <v>0</v>
      </c>
      <c r="I80" s="2"/>
      <c r="J80" s="4"/>
      <c r="K80" s="4"/>
    </row>
    <row r="81" spans="1:11" s="13" customFormat="1" ht="13.8" x14ac:dyDescent="0.3">
      <c r="A81" s="25">
        <v>80</v>
      </c>
      <c r="B81" s="26" t="s">
        <v>116</v>
      </c>
      <c r="C81" s="26" t="s">
        <v>269</v>
      </c>
      <c r="D81" s="26" t="s">
        <v>15</v>
      </c>
      <c r="E81" s="4" t="s">
        <v>336</v>
      </c>
      <c r="F81" s="33">
        <f t="shared" si="2"/>
        <v>10</v>
      </c>
      <c r="G81" s="32"/>
      <c r="H81" s="33">
        <f t="shared" si="3"/>
        <v>0</v>
      </c>
      <c r="I81" s="2"/>
      <c r="J81" s="4"/>
      <c r="K81" s="4"/>
    </row>
    <row r="82" spans="1:11" s="13" customFormat="1" ht="13.8" x14ac:dyDescent="0.3">
      <c r="A82" s="25">
        <v>81</v>
      </c>
      <c r="B82" s="26" t="s">
        <v>116</v>
      </c>
      <c r="C82" s="26" t="s">
        <v>120</v>
      </c>
      <c r="D82" s="26" t="s">
        <v>15</v>
      </c>
      <c r="E82" s="4" t="s">
        <v>336</v>
      </c>
      <c r="F82" s="33">
        <f t="shared" si="2"/>
        <v>10</v>
      </c>
      <c r="G82" s="32"/>
      <c r="H82" s="33">
        <f t="shared" si="3"/>
        <v>0</v>
      </c>
      <c r="I82" s="2"/>
      <c r="J82" s="4"/>
      <c r="K82" s="4"/>
    </row>
    <row r="83" spans="1:11" s="13" customFormat="1" ht="13.8" x14ac:dyDescent="0.3">
      <c r="A83" s="25">
        <v>82</v>
      </c>
      <c r="B83" s="26" t="s">
        <v>116</v>
      </c>
      <c r="C83" s="26" t="s">
        <v>270</v>
      </c>
      <c r="D83" s="26" t="s">
        <v>122</v>
      </c>
      <c r="E83" s="4" t="s">
        <v>336</v>
      </c>
      <c r="F83" s="33">
        <f t="shared" si="2"/>
        <v>10</v>
      </c>
      <c r="G83" s="32"/>
      <c r="H83" s="33">
        <f t="shared" si="3"/>
        <v>0</v>
      </c>
      <c r="I83" s="2"/>
      <c r="J83" s="4"/>
      <c r="K83" s="4"/>
    </row>
    <row r="84" spans="1:11" s="13" customFormat="1" ht="27.6" x14ac:dyDescent="0.3">
      <c r="A84" s="25">
        <v>83</v>
      </c>
      <c r="B84" s="26" t="s">
        <v>116</v>
      </c>
      <c r="C84" s="26" t="s">
        <v>271</v>
      </c>
      <c r="D84" s="26" t="s">
        <v>15</v>
      </c>
      <c r="E84" s="4" t="s">
        <v>336</v>
      </c>
      <c r="F84" s="33">
        <f t="shared" si="2"/>
        <v>10</v>
      </c>
      <c r="G84" s="32"/>
      <c r="H84" s="33">
        <f t="shared" si="3"/>
        <v>0</v>
      </c>
      <c r="I84" s="2"/>
      <c r="J84" s="4"/>
      <c r="K84" s="4"/>
    </row>
    <row r="85" spans="1:11" s="13" customFormat="1" ht="13.8" x14ac:dyDescent="0.3">
      <c r="A85" s="25">
        <v>84</v>
      </c>
      <c r="B85" s="26" t="s">
        <v>116</v>
      </c>
      <c r="C85" s="26" t="s">
        <v>160</v>
      </c>
      <c r="D85" s="26" t="s">
        <v>161</v>
      </c>
      <c r="E85" s="4" t="s">
        <v>336</v>
      </c>
      <c r="F85" s="33">
        <f t="shared" si="2"/>
        <v>10</v>
      </c>
      <c r="G85" s="32"/>
      <c r="H85" s="33">
        <f t="shared" si="3"/>
        <v>0</v>
      </c>
      <c r="I85" s="2"/>
      <c r="J85" s="4"/>
      <c r="K85" s="4"/>
    </row>
    <row r="86" spans="1:11" s="15" customFormat="1" ht="27.6" x14ac:dyDescent="0.3">
      <c r="A86" s="25">
        <v>85</v>
      </c>
      <c r="B86" s="26" t="s">
        <v>124</v>
      </c>
      <c r="C86" s="26" t="s">
        <v>272</v>
      </c>
      <c r="D86" s="26" t="s">
        <v>126</v>
      </c>
      <c r="E86" s="4" t="s">
        <v>336</v>
      </c>
      <c r="F86" s="33">
        <f t="shared" si="2"/>
        <v>10</v>
      </c>
      <c r="G86" s="32"/>
      <c r="H86" s="33">
        <f t="shared" si="3"/>
        <v>0</v>
      </c>
      <c r="I86" s="2"/>
      <c r="J86" s="4"/>
      <c r="K86" s="4"/>
    </row>
    <row r="87" spans="1:11" s="15" customFormat="1" ht="27.6" x14ac:dyDescent="0.3">
      <c r="A87" s="25">
        <v>86</v>
      </c>
      <c r="B87" s="26" t="s">
        <v>124</v>
      </c>
      <c r="C87" s="26" t="s">
        <v>127</v>
      </c>
      <c r="D87" s="26" t="s">
        <v>128</v>
      </c>
      <c r="E87" s="4" t="s">
        <v>336</v>
      </c>
      <c r="F87" s="33">
        <f t="shared" si="2"/>
        <v>10</v>
      </c>
      <c r="G87" s="32"/>
      <c r="H87" s="33">
        <f t="shared" si="3"/>
        <v>0</v>
      </c>
      <c r="I87" s="2"/>
      <c r="J87" s="4"/>
      <c r="K87" s="4"/>
    </row>
    <row r="88" spans="1:11" s="15" customFormat="1" ht="27.6" x14ac:dyDescent="0.3">
      <c r="A88" s="25">
        <v>87</v>
      </c>
      <c r="B88" s="26" t="s">
        <v>124</v>
      </c>
      <c r="C88" s="26" t="s">
        <v>328</v>
      </c>
      <c r="D88" s="26" t="s">
        <v>211</v>
      </c>
      <c r="E88" s="4" t="s">
        <v>336</v>
      </c>
      <c r="F88" s="33">
        <f t="shared" si="2"/>
        <v>10</v>
      </c>
      <c r="G88" s="32"/>
      <c r="H88" s="33">
        <f t="shared" si="3"/>
        <v>0</v>
      </c>
      <c r="I88" s="2"/>
      <c r="J88" s="4"/>
      <c r="K88" s="4"/>
    </row>
    <row r="89" spans="1:11" s="16" customFormat="1" ht="13.8" x14ac:dyDescent="0.3">
      <c r="A89" s="18">
        <v>88</v>
      </c>
      <c r="B89" s="19" t="s">
        <v>129</v>
      </c>
      <c r="C89" s="19" t="s">
        <v>130</v>
      </c>
      <c r="D89" s="19" t="s">
        <v>88</v>
      </c>
      <c r="E89" s="4" t="s">
        <v>339</v>
      </c>
      <c r="F89" s="33">
        <f t="shared" si="2"/>
        <v>0</v>
      </c>
      <c r="G89" s="32"/>
      <c r="H89" s="33">
        <f t="shared" si="3"/>
        <v>0</v>
      </c>
      <c r="I89" s="2"/>
      <c r="J89" s="4"/>
      <c r="K89" s="4"/>
    </row>
    <row r="90" spans="1:11" s="16" customFormat="1" ht="13.8" x14ac:dyDescent="0.3">
      <c r="A90" s="18">
        <v>89</v>
      </c>
      <c r="B90" s="19" t="s">
        <v>129</v>
      </c>
      <c r="C90" s="19" t="s">
        <v>131</v>
      </c>
      <c r="D90" s="19" t="s">
        <v>88</v>
      </c>
      <c r="E90" s="4" t="s">
        <v>339</v>
      </c>
      <c r="F90" s="33">
        <f t="shared" si="2"/>
        <v>0</v>
      </c>
      <c r="G90" s="32"/>
      <c r="H90" s="33">
        <f t="shared" si="3"/>
        <v>0</v>
      </c>
      <c r="I90" s="2"/>
      <c r="J90" s="4"/>
      <c r="K90" s="4"/>
    </row>
    <row r="91" spans="1:11" s="16" customFormat="1" ht="13.8" x14ac:dyDescent="0.3">
      <c r="A91" s="18">
        <v>90</v>
      </c>
      <c r="B91" s="19" t="s">
        <v>129</v>
      </c>
      <c r="C91" s="19" t="s">
        <v>132</v>
      </c>
      <c r="D91" s="19" t="s">
        <v>110</v>
      </c>
      <c r="E91" s="4" t="s">
        <v>339</v>
      </c>
      <c r="F91" s="33">
        <f t="shared" si="2"/>
        <v>0</v>
      </c>
      <c r="G91" s="32"/>
      <c r="H91" s="33">
        <f t="shared" si="3"/>
        <v>0</v>
      </c>
      <c r="I91" s="2"/>
      <c r="J91" s="4"/>
      <c r="K91" s="4"/>
    </row>
    <row r="92" spans="1:11" s="16" customFormat="1" ht="27.6" x14ac:dyDescent="0.3">
      <c r="A92" s="18">
        <v>91</v>
      </c>
      <c r="B92" s="19" t="s">
        <v>129</v>
      </c>
      <c r="C92" s="19" t="s">
        <v>133</v>
      </c>
      <c r="D92" s="19" t="s">
        <v>42</v>
      </c>
      <c r="E92" s="4" t="s">
        <v>339</v>
      </c>
      <c r="F92" s="33">
        <f t="shared" si="2"/>
        <v>0</v>
      </c>
      <c r="G92" s="32"/>
      <c r="H92" s="33">
        <f t="shared" si="3"/>
        <v>0</v>
      </c>
      <c r="I92" s="2"/>
      <c r="J92" s="4"/>
      <c r="K92" s="4"/>
    </row>
    <row r="93" spans="1:11" s="17" customFormat="1" ht="27.6" x14ac:dyDescent="0.3">
      <c r="A93" s="18">
        <v>92</v>
      </c>
      <c r="B93" s="19" t="s">
        <v>134</v>
      </c>
      <c r="C93" s="19" t="s">
        <v>137</v>
      </c>
      <c r="D93" s="19" t="s">
        <v>306</v>
      </c>
      <c r="E93" s="4" t="s">
        <v>338</v>
      </c>
      <c r="F93" s="33">
        <f t="shared" si="2"/>
        <v>0</v>
      </c>
      <c r="G93" s="32"/>
      <c r="H93" s="33">
        <f t="shared" si="3"/>
        <v>0</v>
      </c>
      <c r="I93" s="2"/>
      <c r="J93" s="4"/>
      <c r="K93" s="4"/>
    </row>
    <row r="94" spans="1:11" s="17" customFormat="1" ht="13.8" x14ac:dyDescent="0.3">
      <c r="A94" s="25">
        <v>93</v>
      </c>
      <c r="B94" s="26" t="s">
        <v>134</v>
      </c>
      <c r="C94" s="26" t="s">
        <v>140</v>
      </c>
      <c r="D94" s="26" t="s">
        <v>141</v>
      </c>
      <c r="E94" s="4" t="s">
        <v>336</v>
      </c>
      <c r="F94" s="33">
        <f t="shared" si="2"/>
        <v>10</v>
      </c>
      <c r="G94" s="32"/>
      <c r="H94" s="33">
        <f t="shared" si="3"/>
        <v>0</v>
      </c>
      <c r="I94" s="2"/>
      <c r="J94" s="4"/>
      <c r="K94" s="4"/>
    </row>
    <row r="95" spans="1:11" s="17" customFormat="1" ht="27.6" x14ac:dyDescent="0.3">
      <c r="A95" s="25">
        <v>94</v>
      </c>
      <c r="B95" s="26" t="s">
        <v>134</v>
      </c>
      <c r="C95" s="26" t="s">
        <v>142</v>
      </c>
      <c r="D95" s="26" t="s">
        <v>305</v>
      </c>
      <c r="E95" s="4" t="s">
        <v>336</v>
      </c>
      <c r="F95" s="33">
        <f t="shared" si="2"/>
        <v>10</v>
      </c>
      <c r="G95" s="32"/>
      <c r="H95" s="33">
        <f t="shared" si="3"/>
        <v>0</v>
      </c>
      <c r="I95" s="2"/>
      <c r="J95" s="4"/>
      <c r="K95" s="4"/>
    </row>
    <row r="96" spans="1:11" s="17" customFormat="1" ht="13.8" x14ac:dyDescent="0.3">
      <c r="A96" s="14">
        <v>95</v>
      </c>
      <c r="B96" s="15" t="s">
        <v>134</v>
      </c>
      <c r="C96" s="15" t="s">
        <v>273</v>
      </c>
      <c r="D96" s="15" t="s">
        <v>147</v>
      </c>
      <c r="E96" s="4" t="s">
        <v>337</v>
      </c>
      <c r="F96" s="33">
        <f t="shared" si="2"/>
        <v>5</v>
      </c>
      <c r="G96" s="32"/>
      <c r="H96" s="33">
        <f t="shared" si="3"/>
        <v>0</v>
      </c>
      <c r="I96" s="2"/>
      <c r="J96" s="4"/>
      <c r="K96" s="4"/>
    </row>
    <row r="97" spans="1:11" s="17" customFormat="1" ht="13.8" x14ac:dyDescent="0.3">
      <c r="A97" s="28">
        <v>96</v>
      </c>
      <c r="B97" s="29" t="s">
        <v>134</v>
      </c>
      <c r="C97" s="29" t="s">
        <v>148</v>
      </c>
      <c r="D97" s="29" t="s">
        <v>147</v>
      </c>
      <c r="E97" s="4" t="s">
        <v>338</v>
      </c>
      <c r="F97" s="33">
        <f t="shared" si="2"/>
        <v>0</v>
      </c>
      <c r="G97" s="32"/>
      <c r="H97" s="33">
        <f t="shared" si="3"/>
        <v>0</v>
      </c>
      <c r="I97" s="2"/>
      <c r="J97" s="4"/>
      <c r="K97" s="4"/>
    </row>
    <row r="98" spans="1:11" s="17" customFormat="1" ht="13.8" x14ac:dyDescent="0.3">
      <c r="A98" s="25">
        <v>97</v>
      </c>
      <c r="B98" s="26" t="s">
        <v>134</v>
      </c>
      <c r="C98" s="26" t="s">
        <v>149</v>
      </c>
      <c r="D98" s="26" t="s">
        <v>150</v>
      </c>
      <c r="E98" s="4" t="s">
        <v>336</v>
      </c>
      <c r="F98" s="33">
        <f t="shared" si="2"/>
        <v>10</v>
      </c>
      <c r="G98" s="32"/>
      <c r="H98" s="33">
        <f t="shared" si="3"/>
        <v>0</v>
      </c>
      <c r="I98" s="2"/>
      <c r="J98" s="4"/>
      <c r="K98" s="4"/>
    </row>
    <row r="99" spans="1:11" s="17" customFormat="1" ht="13.8" x14ac:dyDescent="0.3">
      <c r="A99" s="25">
        <v>98</v>
      </c>
      <c r="B99" s="26" t="s">
        <v>134</v>
      </c>
      <c r="C99" s="26" t="s">
        <v>274</v>
      </c>
      <c r="D99" s="26" t="s">
        <v>110</v>
      </c>
      <c r="E99" s="4" t="s">
        <v>336</v>
      </c>
      <c r="F99" s="33">
        <f t="shared" si="2"/>
        <v>10</v>
      </c>
      <c r="G99" s="32"/>
      <c r="H99" s="33">
        <f t="shared" si="3"/>
        <v>0</v>
      </c>
      <c r="I99" s="2"/>
      <c r="J99" s="4"/>
      <c r="K99" s="4"/>
    </row>
    <row r="100" spans="1:11" s="17" customFormat="1" ht="13.8" x14ac:dyDescent="0.3">
      <c r="A100" s="25">
        <v>99</v>
      </c>
      <c r="B100" s="26" t="s">
        <v>134</v>
      </c>
      <c r="C100" s="26" t="s">
        <v>329</v>
      </c>
      <c r="D100" s="26" t="s">
        <v>152</v>
      </c>
      <c r="E100" s="4" t="s">
        <v>336</v>
      </c>
      <c r="F100" s="33">
        <f t="shared" si="2"/>
        <v>10</v>
      </c>
      <c r="G100" s="32"/>
      <c r="H100" s="33">
        <f t="shared" si="3"/>
        <v>0</v>
      </c>
      <c r="I100" s="2"/>
      <c r="J100" s="4"/>
      <c r="K100" s="4"/>
    </row>
    <row r="101" spans="1:11" s="17" customFormat="1" ht="13.8" x14ac:dyDescent="0.3">
      <c r="A101" s="25">
        <v>100</v>
      </c>
      <c r="B101" s="26" t="s">
        <v>134</v>
      </c>
      <c r="C101" s="26" t="s">
        <v>275</v>
      </c>
      <c r="D101" s="26" t="s">
        <v>88</v>
      </c>
      <c r="E101" s="4" t="s">
        <v>336</v>
      </c>
      <c r="F101" s="33">
        <f t="shared" si="2"/>
        <v>10</v>
      </c>
      <c r="G101" s="32"/>
      <c r="H101" s="33">
        <f t="shared" si="3"/>
        <v>0</v>
      </c>
      <c r="I101" s="2"/>
      <c r="J101" s="4"/>
      <c r="K101" s="4"/>
    </row>
    <row r="102" spans="1:11" s="17" customFormat="1" ht="13.8" x14ac:dyDescent="0.3">
      <c r="A102" s="28">
        <v>101</v>
      </c>
      <c r="B102" s="29" t="s">
        <v>134</v>
      </c>
      <c r="C102" s="29" t="s">
        <v>276</v>
      </c>
      <c r="D102" s="29" t="s">
        <v>88</v>
      </c>
      <c r="E102" s="4" t="s">
        <v>338</v>
      </c>
      <c r="F102" s="33">
        <f t="shared" si="2"/>
        <v>0</v>
      </c>
      <c r="G102" s="32"/>
      <c r="H102" s="33">
        <f t="shared" si="3"/>
        <v>0</v>
      </c>
      <c r="I102" s="2"/>
      <c r="J102" s="4"/>
      <c r="K102" s="4"/>
    </row>
    <row r="103" spans="1:11" s="17" customFormat="1" ht="13.8" x14ac:dyDescent="0.3">
      <c r="A103" s="25">
        <v>102</v>
      </c>
      <c r="B103" s="26" t="s">
        <v>134</v>
      </c>
      <c r="C103" s="26" t="s">
        <v>156</v>
      </c>
      <c r="D103" s="26" t="s">
        <v>157</v>
      </c>
      <c r="E103" s="4" t="s">
        <v>336</v>
      </c>
      <c r="F103" s="33">
        <f t="shared" si="2"/>
        <v>10</v>
      </c>
      <c r="G103" s="32"/>
      <c r="H103" s="33">
        <f t="shared" si="3"/>
        <v>0</v>
      </c>
      <c r="I103" s="2"/>
      <c r="J103" s="4"/>
      <c r="K103" s="4"/>
    </row>
    <row r="104" spans="1:11" s="17" customFormat="1" ht="27.6" x14ac:dyDescent="0.3">
      <c r="A104" s="25">
        <v>103</v>
      </c>
      <c r="B104" s="26" t="s">
        <v>134</v>
      </c>
      <c r="C104" s="26" t="s">
        <v>158</v>
      </c>
      <c r="D104" s="26" t="s">
        <v>159</v>
      </c>
      <c r="E104" s="4" t="s">
        <v>336</v>
      </c>
      <c r="F104" s="33">
        <f t="shared" si="2"/>
        <v>10</v>
      </c>
      <c r="G104" s="32"/>
      <c r="H104" s="33">
        <f t="shared" si="3"/>
        <v>0</v>
      </c>
      <c r="I104" s="2"/>
      <c r="J104" s="4"/>
      <c r="K104" s="4"/>
    </row>
    <row r="105" spans="1:11" s="17" customFormat="1" ht="13.8" x14ac:dyDescent="0.3">
      <c r="A105" s="25">
        <v>104</v>
      </c>
      <c r="B105" s="26" t="s">
        <v>134</v>
      </c>
      <c r="C105" s="26" t="s">
        <v>162</v>
      </c>
      <c r="D105" s="26" t="s">
        <v>110</v>
      </c>
      <c r="E105" s="4" t="s">
        <v>336</v>
      </c>
      <c r="F105" s="33">
        <f t="shared" si="2"/>
        <v>10</v>
      </c>
      <c r="G105" s="32"/>
      <c r="H105" s="33">
        <f t="shared" si="3"/>
        <v>0</v>
      </c>
      <c r="I105" s="2"/>
      <c r="J105" s="4"/>
      <c r="K105" s="4"/>
    </row>
    <row r="106" spans="1:11" s="17" customFormat="1" ht="13.8" x14ac:dyDescent="0.3">
      <c r="A106" s="25">
        <v>105</v>
      </c>
      <c r="B106" s="26" t="s">
        <v>134</v>
      </c>
      <c r="C106" s="26" t="s">
        <v>277</v>
      </c>
      <c r="D106" s="26" t="s">
        <v>88</v>
      </c>
      <c r="E106" s="4" t="s">
        <v>336</v>
      </c>
      <c r="F106" s="33">
        <f t="shared" si="2"/>
        <v>10</v>
      </c>
      <c r="G106" s="32"/>
      <c r="H106" s="33">
        <f t="shared" si="3"/>
        <v>0</v>
      </c>
      <c r="I106" s="2"/>
      <c r="J106" s="4"/>
      <c r="K106" s="4"/>
    </row>
    <row r="107" spans="1:11" s="17" customFormat="1" ht="13.8" x14ac:dyDescent="0.3">
      <c r="A107" s="28">
        <v>106</v>
      </c>
      <c r="B107" s="29" t="s">
        <v>134</v>
      </c>
      <c r="C107" s="29" t="s">
        <v>278</v>
      </c>
      <c r="D107" s="29" t="s">
        <v>169</v>
      </c>
      <c r="E107" s="4" t="s">
        <v>338</v>
      </c>
      <c r="F107" s="33">
        <f t="shared" si="2"/>
        <v>0</v>
      </c>
      <c r="G107" s="32"/>
      <c r="H107" s="33">
        <f t="shared" si="3"/>
        <v>0</v>
      </c>
      <c r="I107" s="2"/>
      <c r="J107" s="4"/>
      <c r="K107" s="4"/>
    </row>
    <row r="108" spans="1:11" s="17" customFormat="1" ht="13.8" x14ac:dyDescent="0.3">
      <c r="A108" s="18">
        <v>107</v>
      </c>
      <c r="B108" s="19" t="s">
        <v>134</v>
      </c>
      <c r="C108" s="19" t="s">
        <v>330</v>
      </c>
      <c r="D108" s="19" t="s">
        <v>307</v>
      </c>
      <c r="E108" s="4" t="s">
        <v>339</v>
      </c>
      <c r="F108" s="33">
        <f t="shared" si="2"/>
        <v>0</v>
      </c>
      <c r="G108" s="32"/>
      <c r="H108" s="33">
        <f t="shared" si="3"/>
        <v>0</v>
      </c>
      <c r="I108" s="2"/>
      <c r="J108" s="4"/>
      <c r="K108" s="4"/>
    </row>
    <row r="109" spans="1:11" s="17" customFormat="1" ht="13.8" x14ac:dyDescent="0.3">
      <c r="A109" s="25">
        <v>108</v>
      </c>
      <c r="B109" s="26" t="s">
        <v>134</v>
      </c>
      <c r="C109" s="26" t="s">
        <v>174</v>
      </c>
      <c r="D109" s="26" t="s">
        <v>88</v>
      </c>
      <c r="E109" s="4" t="s">
        <v>336</v>
      </c>
      <c r="F109" s="33">
        <f t="shared" si="2"/>
        <v>10</v>
      </c>
      <c r="G109" s="32"/>
      <c r="H109" s="33">
        <f t="shared" si="3"/>
        <v>0</v>
      </c>
      <c r="I109" s="2"/>
      <c r="J109" s="4"/>
      <c r="K109" s="4"/>
    </row>
    <row r="110" spans="1:11" s="17" customFormat="1" ht="13.8" x14ac:dyDescent="0.3">
      <c r="A110" s="28">
        <v>109</v>
      </c>
      <c r="B110" s="29" t="s">
        <v>134</v>
      </c>
      <c r="C110" s="29" t="s">
        <v>279</v>
      </c>
      <c r="D110" s="29" t="s">
        <v>88</v>
      </c>
      <c r="E110" s="4" t="s">
        <v>338</v>
      </c>
      <c r="F110" s="33">
        <f t="shared" si="2"/>
        <v>0</v>
      </c>
      <c r="G110" s="32"/>
      <c r="H110" s="33">
        <f t="shared" si="3"/>
        <v>0</v>
      </c>
      <c r="I110" s="2"/>
      <c r="J110" s="4"/>
    </row>
    <row r="111" spans="1:11" ht="13.8" x14ac:dyDescent="0.3">
      <c r="A111" s="28">
        <v>110</v>
      </c>
      <c r="B111" s="29" t="s">
        <v>280</v>
      </c>
      <c r="C111" s="29" t="s">
        <v>281</v>
      </c>
      <c r="D111" s="29" t="s">
        <v>88</v>
      </c>
      <c r="E111" s="4" t="s">
        <v>338</v>
      </c>
      <c r="F111" s="33">
        <f t="shared" si="2"/>
        <v>0</v>
      </c>
      <c r="H111" s="33">
        <f t="shared" si="3"/>
        <v>0</v>
      </c>
      <c r="I111" s="2"/>
    </row>
    <row r="112" spans="1:11" ht="13.8" x14ac:dyDescent="0.3">
      <c r="A112" s="25">
        <v>111</v>
      </c>
      <c r="B112" s="26" t="s">
        <v>280</v>
      </c>
      <c r="C112" s="26" t="s">
        <v>282</v>
      </c>
      <c r="D112" s="26" t="s">
        <v>308</v>
      </c>
      <c r="E112" s="4" t="s">
        <v>336</v>
      </c>
      <c r="F112" s="33">
        <f t="shared" si="2"/>
        <v>10</v>
      </c>
      <c r="H112" s="33">
        <f t="shared" si="3"/>
        <v>0</v>
      </c>
      <c r="I112" s="2"/>
    </row>
    <row r="113" spans="1:9" ht="13.8" x14ac:dyDescent="0.3">
      <c r="A113" s="14">
        <v>112</v>
      </c>
      <c r="B113" s="15" t="s">
        <v>280</v>
      </c>
      <c r="C113" s="15" t="s">
        <v>283</v>
      </c>
      <c r="D113" s="15" t="s">
        <v>309</v>
      </c>
      <c r="E113" s="4" t="s">
        <v>337</v>
      </c>
      <c r="F113" s="33">
        <f t="shared" si="2"/>
        <v>5</v>
      </c>
      <c r="H113" s="33">
        <f t="shared" si="3"/>
        <v>0</v>
      </c>
      <c r="I113" s="2"/>
    </row>
    <row r="114" spans="1:9" ht="13.8" x14ac:dyDescent="0.3">
      <c r="A114" s="28">
        <v>113</v>
      </c>
      <c r="B114" s="29" t="s">
        <v>280</v>
      </c>
      <c r="C114" s="29" t="s">
        <v>285</v>
      </c>
      <c r="D114" s="29" t="s">
        <v>88</v>
      </c>
      <c r="E114" s="4" t="s">
        <v>338</v>
      </c>
      <c r="F114" s="33">
        <f t="shared" si="2"/>
        <v>0</v>
      </c>
      <c r="H114" s="33">
        <f t="shared" si="3"/>
        <v>0</v>
      </c>
      <c r="I114" s="2"/>
    </row>
    <row r="115" spans="1:9" ht="27.6" x14ac:dyDescent="0.3">
      <c r="A115" s="28">
        <v>114</v>
      </c>
      <c r="B115" s="29" t="s">
        <v>280</v>
      </c>
      <c r="C115" s="29" t="s">
        <v>286</v>
      </c>
      <c r="D115" s="29" t="s">
        <v>284</v>
      </c>
      <c r="E115" s="4" t="s">
        <v>338</v>
      </c>
      <c r="F115" s="33">
        <f t="shared" si="2"/>
        <v>0</v>
      </c>
      <c r="H115" s="33">
        <f t="shared" si="3"/>
        <v>0</v>
      </c>
      <c r="I115" s="2"/>
    </row>
    <row r="116" spans="1:9" x14ac:dyDescent="0.3">
      <c r="H116" s="34">
        <f>SUM(H2:H115)</f>
        <v>15</v>
      </c>
      <c r="I116" s="2"/>
    </row>
    <row r="117" spans="1:9" ht="110.4" x14ac:dyDescent="0.3">
      <c r="B117" s="30" t="s">
        <v>332</v>
      </c>
      <c r="C117" s="30" t="s">
        <v>333</v>
      </c>
      <c r="H117" s="34"/>
    </row>
  </sheetData>
  <conditionalFormatting sqref="G2:G115">
    <cfRule type="containsText" dxfId="1" priority="1" operator="containsText" text="NÃO">
      <formula>NOT(ISERROR(SEARCH("NÃO",G2)))</formula>
    </cfRule>
    <cfRule type="containsText" dxfId="0" priority="2" operator="containsText" text="SIM">
      <formula>NOT(ISERROR(SEARCH("SIM",G2)))</formula>
    </cfRule>
  </conditionalFormatting>
  <dataValidations count="1">
    <dataValidation type="list" allowBlank="1" showInputMessage="1" showErrorMessage="1" errorTitle="Valide os dados" error="Apenas SIM;NÃO;N/A;N/O" sqref="G2:G115" xr:uid="{87B6CC85-C433-42B6-BD04-45C722656AAD}">
      <formula1>"SIM,NÃO,N/A,N/O"</formula1>
    </dataValidation>
  </dataValidations>
  <pageMargins left="0.23622047244094491" right="3.937007874015748E-2" top="0.19685039370078741" bottom="0.35433070866141736" header="0.31496062992125984" footer="0.11811023622047245"/>
  <pageSetup paperSize="9" scale="5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2F6F-B20E-4753-9AE9-D4F8DE2B2CB2}">
  <dimension ref="A1:G4"/>
  <sheetViews>
    <sheetView workbookViewId="0">
      <selection activeCell="D12" sqref="D12"/>
    </sheetView>
  </sheetViews>
  <sheetFormatPr defaultRowHeight="14.4" x14ac:dyDescent="0.3"/>
  <cols>
    <col min="1" max="1" width="9.44140625" style="45" bestFit="1" customWidth="1"/>
    <col min="2" max="2" width="34.88671875" style="45" bestFit="1" customWidth="1"/>
    <col min="3" max="3" width="65.6640625" style="45" customWidth="1"/>
    <col min="4" max="4" width="27.109375" style="45" bestFit="1" customWidth="1"/>
    <col min="5" max="5" width="12.6640625" style="45" bestFit="1" customWidth="1"/>
    <col min="6" max="6" width="14.21875" style="45" customWidth="1"/>
    <col min="7" max="16384" width="8.88671875" style="45"/>
  </cols>
  <sheetData>
    <row r="1" spans="1:7" x14ac:dyDescent="0.3">
      <c r="A1" s="45" t="s">
        <v>354</v>
      </c>
      <c r="B1" s="45" t="s">
        <v>311</v>
      </c>
      <c r="C1" s="45" t="s">
        <v>356</v>
      </c>
      <c r="D1" s="45" t="s">
        <v>357</v>
      </c>
      <c r="E1" s="45" t="s">
        <v>355</v>
      </c>
      <c r="F1" s="45" t="s">
        <v>358</v>
      </c>
      <c r="G1" s="45" t="s">
        <v>359</v>
      </c>
    </row>
    <row r="2" spans="1:7" ht="28.8" x14ac:dyDescent="0.3">
      <c r="A2" s="45" cm="1">
        <f t="array" ref="A2:E4">_xlfn._xlws.FILTER(ROI!A2:E116, ROI!G2:G116="NÃO", "Nenhuma não conformidade encontrada")</f>
        <v>2</v>
      </c>
      <c r="B2" s="45" t="str">
        <v>DOCUMENTAÇÃO E REGULARIZAÇÃO</v>
      </c>
      <c r="C2" s="45" t="str">
        <v>Possui CNPJ e o CNAE (Classificação Nacional de Atividades Econômicas) é compatível com os serviços prestados.</v>
      </c>
      <c r="D2" s="45" t="str">
        <v>Legislação Tributária e Sanitária</v>
      </c>
      <c r="E2" s="45" t="str">
        <v>Imprescindível</v>
      </c>
    </row>
    <row r="3" spans="1:7" ht="28.8" x14ac:dyDescent="0.3">
      <c r="A3" s="45">
        <v>4</v>
      </c>
      <c r="B3" s="45" t="str">
        <v>DOCUMENTAÇÃO E REGULARIZAÇÃO</v>
      </c>
      <c r="C3" s="45" t="str">
        <v>Apresenta o Plano de Gerenciamento de Resíduos de Serviços de Saúde (PGRSS) implementado e seguido na prática.</v>
      </c>
      <c r="D3" s="45" t="str">
        <v>RDC nº 222/2018</v>
      </c>
      <c r="E3" s="45" t="str">
        <v>Imprescindível</v>
      </c>
    </row>
    <row r="4" spans="1:7" ht="28.8" x14ac:dyDescent="0.3">
      <c r="A4" s="45">
        <v>5</v>
      </c>
      <c r="B4" s="45" t="str">
        <v>DOCUMENTAÇÃO E REGULARIZAÇÃO</v>
      </c>
      <c r="C4" s="45" t="str">
        <v>Apresenta o Plano de Segurança do Paciente (PSP) implantado, com os 6 protocolos básicos estabelecidos.</v>
      </c>
      <c r="D4" s="45" t="str">
        <v>RDC nº 36/2013</v>
      </c>
      <c r="E4" s="45" t="str">
        <v>Imprescindível</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029F-8B71-4E58-BC20-D03BF9359D50}">
  <dimension ref="A1:E6"/>
  <sheetViews>
    <sheetView zoomScale="90" zoomScaleNormal="90" workbookViewId="0">
      <selection activeCell="E7" sqref="E7"/>
    </sheetView>
  </sheetViews>
  <sheetFormatPr defaultRowHeight="14.4" x14ac:dyDescent="0.3"/>
  <cols>
    <col min="1" max="1" width="3.33203125" style="23" bestFit="1" customWidth="1"/>
    <col min="2" max="2" width="22.44140625" style="23" bestFit="1" customWidth="1"/>
    <col min="3" max="3" width="73.109375" style="23" bestFit="1" customWidth="1"/>
    <col min="4" max="4" width="157.6640625" style="23" bestFit="1" customWidth="1"/>
    <col min="5" max="5" width="211.33203125" style="23" bestFit="1" customWidth="1"/>
    <col min="6" max="16384" width="8.88671875" style="23"/>
  </cols>
  <sheetData>
    <row r="1" spans="1:5" s="21" customFormat="1" x14ac:dyDescent="0.3">
      <c r="A1" s="21" t="s">
        <v>0</v>
      </c>
      <c r="B1" s="21" t="s">
        <v>311</v>
      </c>
      <c r="C1" s="21" t="s">
        <v>312</v>
      </c>
      <c r="D1" s="21" t="s">
        <v>313</v>
      </c>
    </row>
    <row r="2" spans="1:5" ht="409.2" customHeight="1" x14ac:dyDescent="0.3">
      <c r="A2" s="22">
        <v>15</v>
      </c>
      <c r="B2" s="22" t="s">
        <v>4</v>
      </c>
      <c r="C2" s="22" t="s">
        <v>315</v>
      </c>
      <c r="D2" s="23" t="s">
        <v>314</v>
      </c>
    </row>
    <row r="3" spans="1:5" ht="28.8" x14ac:dyDescent="0.3">
      <c r="A3" s="22">
        <v>16</v>
      </c>
      <c r="B3" s="22" t="s">
        <v>4</v>
      </c>
      <c r="C3" s="22" t="s">
        <v>206</v>
      </c>
      <c r="D3" s="23" t="s">
        <v>317</v>
      </c>
    </row>
    <row r="4" spans="1:5" ht="27.6" x14ac:dyDescent="0.3">
      <c r="A4" s="5">
        <v>18</v>
      </c>
      <c r="B4" s="6" t="s">
        <v>32</v>
      </c>
      <c r="C4" s="6" t="s">
        <v>318</v>
      </c>
      <c r="D4" s="24" t="s">
        <v>320</v>
      </c>
      <c r="E4" s="24" t="s">
        <v>321</v>
      </c>
    </row>
    <row r="5" spans="1:5" ht="355.2" customHeight="1" x14ac:dyDescent="0.3">
      <c r="A5" s="10">
        <v>56</v>
      </c>
      <c r="B5" s="11" t="s">
        <v>94</v>
      </c>
      <c r="C5" s="11" t="s">
        <v>323</v>
      </c>
      <c r="D5" s="23" t="s">
        <v>322</v>
      </c>
    </row>
    <row r="6" spans="1:5" ht="302.39999999999998" x14ac:dyDescent="0.3">
      <c r="A6" s="10">
        <v>58</v>
      </c>
      <c r="B6" s="11" t="s">
        <v>94</v>
      </c>
      <c r="C6" s="11" t="s">
        <v>325</v>
      </c>
      <c r="D6" s="23" t="s">
        <v>326</v>
      </c>
      <c r="E6" s="23" t="s">
        <v>327</v>
      </c>
    </row>
  </sheetData>
  <hyperlinks>
    <hyperlink ref="D4" r:id="rId1" location="!" xr:uid="{286F2BCC-83D0-4C21-B296-416A589B68E2}"/>
    <hyperlink ref="E4" r:id="rId2" location="contato" xr:uid="{FCDC9E2D-D1F5-4E6B-8BF8-B07A61057E4C}"/>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20FA19A9284C4EA933E0C80DDCDB49" ma:contentTypeVersion="16" ma:contentTypeDescription="Create a new document." ma:contentTypeScope="" ma:versionID="37704e9fbf088d6e096ba17620fddd5a">
  <xsd:schema xmlns:xsd="http://www.w3.org/2001/XMLSchema" xmlns:xs="http://www.w3.org/2001/XMLSchema" xmlns:p="http://schemas.microsoft.com/office/2006/metadata/properties" xmlns:ns1="http://schemas.microsoft.com/sharepoint/v3" xmlns:ns3="febb77ea-8fca-4c44-9dc4-d60b9651ea9a" targetNamespace="http://schemas.microsoft.com/office/2006/metadata/properties" ma:root="true" ma:fieldsID="96d4052128d5418abbdf93ed7d0708b0" ns1:_="" ns3:_="">
    <xsd:import namespace="http://schemas.microsoft.com/sharepoint/v3"/>
    <xsd:import namespace="febb77ea-8fca-4c44-9dc4-d60b9651ea9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1:_ip_UnifiedCompliancePolicyProperties" minOccurs="0"/>
                <xsd:element ref="ns1:_ip_UnifiedCompliancePolicyUIAction"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bb77ea-8fca-4c44-9dc4-d60b9651e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febb77ea-8fca-4c44-9dc4-d60b9651ea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7B6F0C-5412-45E6-AEAA-061BF7EB81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bb77ea-8fca-4c44-9dc4-d60b9651ea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5B3025-B5C7-42B7-AD70-DBEB4B6589EF}">
  <ds:schemaRefs>
    <ds:schemaRef ds:uri="febb77ea-8fca-4c44-9dc4-d60b9651ea9a"/>
    <ds:schemaRef ds:uri="http://schemas.openxmlformats.org/package/2006/metadata/core-properties"/>
    <ds:schemaRef ds:uri="http://purl.org/dc/elements/1.1/"/>
    <ds:schemaRef ds:uri="http://schemas.microsoft.com/sharepoint/v3"/>
    <ds:schemaRef ds:uri="http://purl.org/dc/terms/"/>
    <ds:schemaRef ds:uri="http://purl.org/dc/dcmitype/"/>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CA1578A-43E1-4C71-945F-CA4134E256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Planilha1</vt:lpstr>
      <vt:lpstr>ROI</vt:lpstr>
      <vt:lpstr>PLANO DE AÇÃO</vt:lpstr>
      <vt:lpstr>COMO COMPROVAR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Ester Caiafa</dc:creator>
  <cp:lastModifiedBy>Ester Caiafa</cp:lastModifiedBy>
  <cp:lastPrinted>2025-09-29T15:51:21Z</cp:lastPrinted>
  <dcterms:created xsi:type="dcterms:W3CDTF">2025-09-28T11:10:32Z</dcterms:created>
  <dcterms:modified xsi:type="dcterms:W3CDTF">2025-09-29T17:30:26Z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2025-09-28T12:29:47Z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90e0d55f-453d-4c92-9131-7d8774fa9ca3</vt:lpwstr>
  </property>
  <property fmtid="{D5CDD505-2E9C-101B-9397-08002B2CF9AE}" pid="7" name="MSIP_Label_defa4170-0d19-0005-0004-bc88714345d2_ActionId">
    <vt:lpwstr>ecd74da5-d760-45b6-9518-454fc7aa3c41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0x010100D820FA19A9284C4EA933E0C80DDCDB49</vt:lpwstr>
  </property>
</Properties>
</file>